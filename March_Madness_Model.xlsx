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ackdoyle/Downloads/"/>
    </mc:Choice>
  </mc:AlternateContent>
  <xr:revisionPtr revIDLastSave="0" documentId="8_{A18179D8-D0D0-B945-9544-021D9770B830}" xr6:coauthVersionLast="47" xr6:coauthVersionMax="47" xr10:uidLastSave="{00000000-0000-0000-0000-000000000000}"/>
  <bookViews>
    <workbookView xWindow="0" yWindow="500" windowWidth="28800" windowHeight="16260" activeTab="7" xr2:uid="{00000000-000D-0000-FFFF-FFFF00000000}"/>
  </bookViews>
  <sheets>
    <sheet name="Team List" sheetId="6" r:id="rId1"/>
    <sheet name="Bart Torvik" sheetId="7" r:id="rId2"/>
    <sheet name="Team Ratings" sheetId="2" r:id="rId3"/>
    <sheet name="Team Metrics" sheetId="3" r:id="rId4"/>
    <sheet name="Matchups" sheetId="4" r:id="rId5"/>
    <sheet name="Model Results" sheetId="5" r:id="rId6"/>
    <sheet name="Matchup Results" sheetId="10" r:id="rId7"/>
    <sheet name="Model Analysis" sheetId="11" r:id="rId8"/>
    <sheet name="Logic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4" l="1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B40" i="9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S64" i="4"/>
  <c r="S63" i="4"/>
  <c r="J63" i="4" a="1"/>
  <c r="J63" i="4"/>
  <c r="I63" i="4" a="1"/>
  <c r="I63" i="4"/>
  <c r="S62" i="4"/>
  <c r="J62" i="4" a="1"/>
  <c r="J62" i="4"/>
  <c r="I62" i="4" a="1"/>
  <c r="I62" i="4"/>
  <c r="S61" i="4"/>
  <c r="J61" i="4" a="1"/>
  <c r="J61" i="4"/>
  <c r="I61" i="4" a="1"/>
  <c r="I61" i="4"/>
  <c r="S60" i="4"/>
  <c r="J60" i="4" a="1"/>
  <c r="J60" i="4"/>
  <c r="I60" i="4" a="1"/>
  <c r="I60" i="4"/>
  <c r="S59" i="4"/>
  <c r="J59" i="4" a="1"/>
  <c r="J59" i="4"/>
  <c r="I59" i="4" a="1"/>
  <c r="I59" i="4"/>
  <c r="S58" i="4"/>
  <c r="J58" i="4" a="1"/>
  <c r="J58" i="4"/>
  <c r="I58" i="4" a="1"/>
  <c r="I58" i="4"/>
  <c r="S57" i="4"/>
  <c r="J57" i="4" a="1"/>
  <c r="J57" i="4"/>
  <c r="I57" i="4" a="1"/>
  <c r="I57" i="4"/>
  <c r="S56" i="4"/>
  <c r="J56" i="4" a="1"/>
  <c r="J56" i="4"/>
  <c r="I56" i="4" a="1"/>
  <c r="I56" i="4"/>
  <c r="S55" i="4"/>
  <c r="J55" i="4" a="1"/>
  <c r="J55" i="4"/>
  <c r="I55" i="4" a="1"/>
  <c r="I55" i="4"/>
  <c r="S54" i="4"/>
  <c r="J54" i="4" a="1"/>
  <c r="J54" i="4"/>
  <c r="I54" i="4" a="1"/>
  <c r="I54" i="4"/>
  <c r="AH53" i="4" a="1"/>
  <c r="AH53" i="4"/>
  <c r="AG53" i="4" a="1"/>
  <c r="AG53" i="4" s="1"/>
  <c r="AF53" i="4" a="1"/>
  <c r="AF53" i="4" s="1"/>
  <c r="AE53" i="4" a="1"/>
  <c r="AE53" i="4" s="1"/>
  <c r="AD53" i="4" a="1"/>
  <c r="AD53" i="4"/>
  <c r="S53" i="4"/>
  <c r="J53" i="4" a="1"/>
  <c r="J53" i="4"/>
  <c r="I53" i="4" a="1"/>
  <c r="I53" i="4"/>
  <c r="S52" i="4"/>
  <c r="J52" i="4" a="1"/>
  <c r="J52" i="4"/>
  <c r="I52" i="4" a="1"/>
  <c r="I52" i="4"/>
  <c r="S51" i="4"/>
  <c r="J51" i="4" a="1"/>
  <c r="J51" i="4"/>
  <c r="I51" i="4" a="1"/>
  <c r="I51" i="4"/>
  <c r="S50" i="4"/>
  <c r="J50" i="4" a="1"/>
  <c r="J50" i="4"/>
  <c r="I50" i="4" a="1"/>
  <c r="I50" i="4"/>
  <c r="S49" i="4"/>
  <c r="J49" i="4" a="1"/>
  <c r="J49" i="4"/>
  <c r="I49" i="4" a="1"/>
  <c r="I49" i="4"/>
  <c r="S48" i="4"/>
  <c r="J48" i="4" a="1"/>
  <c r="J48" i="4"/>
  <c r="I48" i="4" a="1"/>
  <c r="I48" i="4"/>
  <c r="S47" i="4"/>
  <c r="J47" i="4" a="1"/>
  <c r="J47" i="4"/>
  <c r="I47" i="4" a="1"/>
  <c r="I47" i="4"/>
  <c r="S46" i="4"/>
  <c r="J46" i="4" a="1"/>
  <c r="J46" i="4"/>
  <c r="I46" i="4" a="1"/>
  <c r="I46" i="4"/>
  <c r="S45" i="4"/>
  <c r="J45" i="4" a="1"/>
  <c r="J45" i="4"/>
  <c r="I45" i="4" a="1"/>
  <c r="I45" i="4"/>
  <c r="S44" i="4"/>
  <c r="J44" i="4" a="1"/>
  <c r="J44" i="4"/>
  <c r="I44" i="4" a="1"/>
  <c r="I44" i="4"/>
  <c r="S43" i="4"/>
  <c r="J43" i="4" a="1"/>
  <c r="J43" i="4"/>
  <c r="I43" i="4" a="1"/>
  <c r="I43" i="4"/>
  <c r="S42" i="4"/>
  <c r="J42" i="4" a="1"/>
  <c r="J42" i="4"/>
  <c r="I42" i="4" a="1"/>
  <c r="I42" i="4"/>
  <c r="S41" i="4"/>
  <c r="J41" i="4" a="1"/>
  <c r="J41" i="4"/>
  <c r="I41" i="4" a="1"/>
  <c r="I41" i="4"/>
  <c r="S40" i="4"/>
  <c r="J40" i="4" a="1"/>
  <c r="J40" i="4"/>
  <c r="I40" i="4" a="1"/>
  <c r="I40" i="4"/>
  <c r="S39" i="4"/>
  <c r="J39" i="4" a="1"/>
  <c r="J39" i="4"/>
  <c r="I39" i="4" a="1"/>
  <c r="I39" i="4"/>
  <c r="S38" i="4"/>
  <c r="J38" i="4" a="1"/>
  <c r="J38" i="4"/>
  <c r="I38" i="4" a="1"/>
  <c r="I38" i="4"/>
  <c r="S37" i="4"/>
  <c r="J37" i="4" a="1"/>
  <c r="J37" i="4"/>
  <c r="I37" i="4" a="1"/>
  <c r="I37" i="4"/>
  <c r="S36" i="4"/>
  <c r="J36" i="4" a="1"/>
  <c r="J36" i="4"/>
  <c r="I36" i="4" a="1"/>
  <c r="I36" i="4"/>
  <c r="S35" i="4"/>
  <c r="J35" i="4" a="1"/>
  <c r="J35" i="4"/>
  <c r="I35" i="4" a="1"/>
  <c r="I35" i="4"/>
  <c r="S34" i="4"/>
  <c r="J34" i="4" a="1"/>
  <c r="J34" i="4"/>
  <c r="I34" i="4" a="1"/>
  <c r="I34" i="4"/>
  <c r="S33" i="4"/>
  <c r="J33" i="4" a="1"/>
  <c r="J33" i="4"/>
  <c r="I33" i="4" a="1"/>
  <c r="I33" i="4"/>
  <c r="S32" i="4"/>
  <c r="J32" i="4" a="1"/>
  <c r="J32" i="4"/>
  <c r="I32" i="4" a="1"/>
  <c r="I32" i="4"/>
  <c r="S31" i="4"/>
  <c r="J31" i="4" a="1"/>
  <c r="J31" i="4"/>
  <c r="I31" i="4" a="1"/>
  <c r="I31" i="4"/>
  <c r="S30" i="4"/>
  <c r="J30" i="4" a="1"/>
  <c r="J30" i="4"/>
  <c r="I30" i="4" a="1"/>
  <c r="I30" i="4"/>
  <c r="S29" i="4"/>
  <c r="J29" i="4" a="1"/>
  <c r="J29" i="4"/>
  <c r="I29" i="4" a="1"/>
  <c r="I29" i="4"/>
  <c r="S28" i="4"/>
  <c r="J28" i="4" a="1"/>
  <c r="J28" i="4"/>
  <c r="I28" i="4" a="1"/>
  <c r="I28" i="4"/>
  <c r="S27" i="4"/>
  <c r="J27" i="4" a="1"/>
  <c r="J27" i="4"/>
  <c r="I27" i="4" a="1"/>
  <c r="I27" i="4"/>
  <c r="S26" i="4"/>
  <c r="J26" i="4" a="1"/>
  <c r="J26" i="4"/>
  <c r="I26" i="4" a="1"/>
  <c r="I26" i="4"/>
  <c r="S25" i="4"/>
  <c r="J25" i="4" a="1"/>
  <c r="J25" i="4"/>
  <c r="I25" i="4" a="1"/>
  <c r="I25" i="4"/>
  <c r="S24" i="4"/>
  <c r="J24" i="4" a="1"/>
  <c r="J24" i="4"/>
  <c r="I24" i="4" a="1"/>
  <c r="I24" i="4"/>
  <c r="S23" i="4"/>
  <c r="J23" i="4" a="1"/>
  <c r="J23" i="4"/>
  <c r="I23" i="4" a="1"/>
  <c r="I23" i="4"/>
  <c r="S22" i="4"/>
  <c r="J22" i="4" a="1"/>
  <c r="J22" i="4"/>
  <c r="I22" i="4" a="1"/>
  <c r="I22" i="4"/>
  <c r="S21" i="4"/>
  <c r="J21" i="4" a="1"/>
  <c r="J21" i="4"/>
  <c r="I21" i="4" a="1"/>
  <c r="I21" i="4"/>
  <c r="S20" i="4"/>
  <c r="J20" i="4" a="1"/>
  <c r="J20" i="4"/>
  <c r="I20" i="4" a="1"/>
  <c r="I20" i="4"/>
  <c r="S19" i="4"/>
  <c r="J19" i="4" a="1"/>
  <c r="J19" i="4"/>
  <c r="I19" i="4" a="1"/>
  <c r="I19" i="4"/>
  <c r="S18" i="4"/>
  <c r="J18" i="4" a="1"/>
  <c r="J18" i="4"/>
  <c r="I18" i="4" a="1"/>
  <c r="I18" i="4"/>
  <c r="S17" i="4"/>
  <c r="J17" i="4" a="1"/>
  <c r="J17" i="4"/>
  <c r="I17" i="4" a="1"/>
  <c r="I17" i="4"/>
  <c r="S16" i="4"/>
  <c r="J16" i="4" a="1"/>
  <c r="J16" i="4"/>
  <c r="I16" i="4" a="1"/>
  <c r="I16" i="4"/>
  <c r="S15" i="4"/>
  <c r="J15" i="4" a="1"/>
  <c r="J15" i="4"/>
  <c r="I15" i="4" a="1"/>
  <c r="I15" i="4"/>
  <c r="S14" i="4"/>
  <c r="J14" i="4" a="1"/>
  <c r="J14" i="4"/>
  <c r="I14" i="4" a="1"/>
  <c r="I14" i="4"/>
  <c r="S13" i="4"/>
  <c r="J13" i="4" a="1"/>
  <c r="J13" i="4"/>
  <c r="I13" i="4" a="1"/>
  <c r="I13" i="4"/>
  <c r="S12" i="4"/>
  <c r="J12" i="4" a="1"/>
  <c r="J12" i="4"/>
  <c r="I12" i="4" a="1"/>
  <c r="I12" i="4"/>
  <c r="S11" i="4"/>
  <c r="J11" i="4" a="1"/>
  <c r="J11" i="4"/>
  <c r="I11" i="4" a="1"/>
  <c r="I11" i="4"/>
  <c r="S10" i="4"/>
  <c r="J10" i="4" a="1"/>
  <c r="J10" i="4"/>
  <c r="I10" i="4" a="1"/>
  <c r="I10" i="4"/>
  <c r="S9" i="4"/>
  <c r="J9" i="4" a="1"/>
  <c r="J9" i="4"/>
  <c r="I9" i="4" a="1"/>
  <c r="I9" i="4"/>
  <c r="S8" i="4"/>
  <c r="J8" i="4" a="1"/>
  <c r="J8" i="4"/>
  <c r="I8" i="4" a="1"/>
  <c r="I8" i="4"/>
  <c r="S7" i="4"/>
  <c r="J7" i="4" a="1"/>
  <c r="J7" i="4"/>
  <c r="I7" i="4" a="1"/>
  <c r="I7" i="4"/>
  <c r="S6" i="4"/>
  <c r="J6" i="4" a="1"/>
  <c r="J6" i="4"/>
  <c r="I6" i="4" a="1"/>
  <c r="I6" i="4"/>
  <c r="S5" i="4"/>
  <c r="J5" i="4" a="1"/>
  <c r="J5" i="4"/>
  <c r="I5" i="4" a="1"/>
  <c r="I5" i="4"/>
  <c r="S4" i="4"/>
  <c r="J4" i="4" a="1"/>
  <c r="J4" i="4"/>
  <c r="I4" i="4" a="1"/>
  <c r="I4" i="4"/>
  <c r="S3" i="4"/>
  <c r="J3" i="4" a="1"/>
  <c r="J3" i="4"/>
  <c r="I3" i="4" a="1"/>
  <c r="I3" i="4"/>
  <c r="S2" i="4"/>
  <c r="J2" i="4" a="1"/>
  <c r="J2" i="4"/>
  <c r="I2" i="4" a="1"/>
  <c r="I2" i="4"/>
  <c r="AD65" i="3"/>
  <c r="U65" i="3" a="1"/>
  <c r="U65" i="3"/>
  <c r="T65" i="3" a="1"/>
  <c r="T65" i="3"/>
  <c r="V65" i="3" s="1"/>
  <c r="W65" i="3" s="1"/>
  <c r="S65" i="3" a="1"/>
  <c r="S65" i="3"/>
  <c r="R65" i="3" a="1"/>
  <c r="R65" i="3"/>
  <c r="Q65" i="3" a="1"/>
  <c r="Q65" i="3"/>
  <c r="Y65" i="3" s="1"/>
  <c r="P65" i="3" a="1"/>
  <c r="P65" i="3"/>
  <c r="O65" i="3" a="1"/>
  <c r="O65" i="3"/>
  <c r="N65" i="3" a="1"/>
  <c r="N65" i="3"/>
  <c r="AA65" i="3" s="1"/>
  <c r="M65" i="3" a="1"/>
  <c r="M65" i="3"/>
  <c r="Z65" i="3" s="1"/>
  <c r="L65" i="3" a="1"/>
  <c r="L65" i="3"/>
  <c r="K65" i="3" a="1"/>
  <c r="K65" i="3"/>
  <c r="J65" i="3" a="1"/>
  <c r="J65" i="3"/>
  <c r="I65" i="3" a="1"/>
  <c r="I65" i="3"/>
  <c r="X65" i="3" s="1"/>
  <c r="H65" i="3" a="1"/>
  <c r="H65" i="3"/>
  <c r="G65" i="3" a="1"/>
  <c r="G65" i="3"/>
  <c r="F65" i="3" a="1"/>
  <c r="F65" i="3"/>
  <c r="E65" i="3" a="1"/>
  <c r="E65" i="3"/>
  <c r="C65" i="3" a="1"/>
  <c r="C65" i="3"/>
  <c r="B65" i="3" a="1"/>
  <c r="B65" i="3"/>
  <c r="AD64" i="3"/>
  <c r="U64" i="3" a="1"/>
  <c r="U64" i="3"/>
  <c r="T64" i="3" a="1"/>
  <c r="T64" i="3"/>
  <c r="V64" i="3" s="1"/>
  <c r="W64" i="3" s="1"/>
  <c r="S64" i="3" a="1"/>
  <c r="S64" i="3"/>
  <c r="R64" i="3" a="1"/>
  <c r="R64" i="3"/>
  <c r="Q64" i="3" a="1"/>
  <c r="Q64" i="3"/>
  <c r="Y64" i="3" s="1"/>
  <c r="P64" i="3" a="1"/>
  <c r="P64" i="3"/>
  <c r="O64" i="3" a="1"/>
  <c r="O64" i="3"/>
  <c r="N64" i="3" a="1"/>
  <c r="N64" i="3"/>
  <c r="AA64" i="3" s="1"/>
  <c r="M64" i="3" a="1"/>
  <c r="M64" i="3"/>
  <c r="Z64" i="3" s="1"/>
  <c r="L64" i="3" a="1"/>
  <c r="L64" i="3"/>
  <c r="K64" i="3" a="1"/>
  <c r="K64" i="3"/>
  <c r="J64" i="3" a="1"/>
  <c r="J64" i="3"/>
  <c r="I64" i="3" a="1"/>
  <c r="I64" i="3"/>
  <c r="X64" i="3" s="1"/>
  <c r="H64" i="3" a="1"/>
  <c r="H64" i="3"/>
  <c r="G64" i="3" a="1"/>
  <c r="G64" i="3"/>
  <c r="F64" i="3" a="1"/>
  <c r="F64" i="3"/>
  <c r="E64" i="3" a="1"/>
  <c r="E64" i="3"/>
  <c r="C64" i="3" a="1"/>
  <c r="C64" i="3"/>
  <c r="B64" i="3" a="1"/>
  <c r="B64" i="3"/>
  <c r="AD63" i="3"/>
  <c r="U63" i="3" a="1"/>
  <c r="U63" i="3"/>
  <c r="T63" i="3" a="1"/>
  <c r="T63" i="3"/>
  <c r="V63" i="3" s="1"/>
  <c r="W63" i="3" s="1"/>
  <c r="S63" i="3" a="1"/>
  <c r="S63" i="3"/>
  <c r="R63" i="3" a="1"/>
  <c r="R63" i="3"/>
  <c r="Q63" i="3" a="1"/>
  <c r="Q63" i="3"/>
  <c r="Y63" i="3" s="1"/>
  <c r="P63" i="3" a="1"/>
  <c r="P63" i="3"/>
  <c r="O63" i="3" a="1"/>
  <c r="O63" i="3"/>
  <c r="N63" i="3" a="1"/>
  <c r="N63" i="3"/>
  <c r="AA63" i="3" s="1"/>
  <c r="M63" i="3" a="1"/>
  <c r="M63" i="3"/>
  <c r="Z63" i="3" s="1"/>
  <c r="L63" i="3" a="1"/>
  <c r="L63" i="3"/>
  <c r="K63" i="3" a="1"/>
  <c r="K63" i="3"/>
  <c r="J63" i="3" a="1"/>
  <c r="J63" i="3"/>
  <c r="I63" i="3" a="1"/>
  <c r="I63" i="3"/>
  <c r="X63" i="3" s="1"/>
  <c r="H63" i="3" a="1"/>
  <c r="H63" i="3"/>
  <c r="G63" i="3" a="1"/>
  <c r="G63" i="3"/>
  <c r="F63" i="3" a="1"/>
  <c r="F63" i="3"/>
  <c r="E63" i="3" a="1"/>
  <c r="E63" i="3"/>
  <c r="C63" i="3" a="1"/>
  <c r="C63" i="3"/>
  <c r="B63" i="3" a="1"/>
  <c r="B63" i="3"/>
  <c r="AD62" i="3"/>
  <c r="U62" i="3" a="1"/>
  <c r="U62" i="3"/>
  <c r="T62" i="3" a="1"/>
  <c r="T62" i="3"/>
  <c r="V62" i="3" s="1"/>
  <c r="W62" i="3" s="1"/>
  <c r="S62" i="3" a="1"/>
  <c r="S62" i="3"/>
  <c r="R62" i="3" a="1"/>
  <c r="R62" i="3"/>
  <c r="Q62" i="3" a="1"/>
  <c r="Q62" i="3"/>
  <c r="Y62" i="3" s="1"/>
  <c r="P62" i="3" a="1"/>
  <c r="P62" i="3"/>
  <c r="O62" i="3" a="1"/>
  <c r="O62" i="3"/>
  <c r="N62" i="3" a="1"/>
  <c r="N62" i="3"/>
  <c r="AA62" i="3" s="1"/>
  <c r="M62" i="3" a="1"/>
  <c r="M62" i="3"/>
  <c r="Z62" i="3" s="1"/>
  <c r="L62" i="3" a="1"/>
  <c r="L62" i="3"/>
  <c r="K62" i="3" a="1"/>
  <c r="K62" i="3"/>
  <c r="J62" i="3" a="1"/>
  <c r="J62" i="3"/>
  <c r="I62" i="3" a="1"/>
  <c r="I62" i="3"/>
  <c r="X62" i="3" s="1"/>
  <c r="H62" i="3" a="1"/>
  <c r="H62" i="3"/>
  <c r="G62" i="3" a="1"/>
  <c r="G62" i="3"/>
  <c r="F62" i="3" a="1"/>
  <c r="F62" i="3"/>
  <c r="E62" i="3" a="1"/>
  <c r="E62" i="3"/>
  <c r="C62" i="3" a="1"/>
  <c r="C62" i="3"/>
  <c r="B62" i="3" a="1"/>
  <c r="B62" i="3"/>
  <c r="AD61" i="3"/>
  <c r="U61" i="3" a="1"/>
  <c r="U61" i="3"/>
  <c r="T61" i="3" a="1"/>
  <c r="T61" i="3"/>
  <c r="V61" i="3" s="1"/>
  <c r="W61" i="3" s="1"/>
  <c r="S61" i="3" a="1"/>
  <c r="S61" i="3"/>
  <c r="R61" i="3" a="1"/>
  <c r="R61" i="3"/>
  <c r="Q61" i="3" a="1"/>
  <c r="Q61" i="3"/>
  <c r="Y61" i="3" s="1"/>
  <c r="P61" i="3" a="1"/>
  <c r="P61" i="3"/>
  <c r="O61" i="3" a="1"/>
  <c r="O61" i="3"/>
  <c r="N61" i="3" a="1"/>
  <c r="N61" i="3"/>
  <c r="AA61" i="3" s="1"/>
  <c r="M61" i="3" a="1"/>
  <c r="M61" i="3"/>
  <c r="Z61" i="3" s="1"/>
  <c r="L61" i="3" a="1"/>
  <c r="L61" i="3"/>
  <c r="K61" i="3" a="1"/>
  <c r="K61" i="3"/>
  <c r="J61" i="3" a="1"/>
  <c r="J61" i="3"/>
  <c r="I61" i="3" a="1"/>
  <c r="I61" i="3"/>
  <c r="X61" i="3" s="1"/>
  <c r="H61" i="3" a="1"/>
  <c r="H61" i="3"/>
  <c r="G61" i="3" a="1"/>
  <c r="G61" i="3"/>
  <c r="F61" i="3" a="1"/>
  <c r="F61" i="3"/>
  <c r="E61" i="3" a="1"/>
  <c r="E61" i="3"/>
  <c r="C61" i="3" a="1"/>
  <c r="C61" i="3"/>
  <c r="B61" i="3" a="1"/>
  <c r="B61" i="3"/>
  <c r="AD60" i="3"/>
  <c r="U60" i="3" a="1"/>
  <c r="U60" i="3"/>
  <c r="T60" i="3" a="1"/>
  <c r="T60" i="3"/>
  <c r="V60" i="3" s="1"/>
  <c r="W60" i="3" s="1"/>
  <c r="S60" i="3" a="1"/>
  <c r="S60" i="3"/>
  <c r="R60" i="3" a="1"/>
  <c r="R60" i="3"/>
  <c r="Q60" i="3" a="1"/>
  <c r="Q60" i="3"/>
  <c r="Y60" i="3" s="1"/>
  <c r="P60" i="3" a="1"/>
  <c r="P60" i="3"/>
  <c r="O60" i="3" a="1"/>
  <c r="O60" i="3"/>
  <c r="N60" i="3" a="1"/>
  <c r="N60" i="3"/>
  <c r="AA60" i="3" s="1"/>
  <c r="M60" i="3" a="1"/>
  <c r="M60" i="3"/>
  <c r="Z60" i="3" s="1"/>
  <c r="L60" i="3" a="1"/>
  <c r="L60" i="3"/>
  <c r="K60" i="3" a="1"/>
  <c r="K60" i="3"/>
  <c r="J60" i="3" a="1"/>
  <c r="J60" i="3"/>
  <c r="I60" i="3" a="1"/>
  <c r="I60" i="3"/>
  <c r="X60" i="3" s="1"/>
  <c r="H60" i="3" a="1"/>
  <c r="H60" i="3"/>
  <c r="G60" i="3" a="1"/>
  <c r="G60" i="3"/>
  <c r="F60" i="3" a="1"/>
  <c r="F60" i="3"/>
  <c r="E60" i="3" a="1"/>
  <c r="E60" i="3"/>
  <c r="C60" i="3" a="1"/>
  <c r="C60" i="3"/>
  <c r="B60" i="3" a="1"/>
  <c r="B60" i="3"/>
  <c r="AD59" i="3"/>
  <c r="U59" i="3" a="1"/>
  <c r="U59" i="3"/>
  <c r="T59" i="3" a="1"/>
  <c r="T59" i="3"/>
  <c r="V59" i="3" s="1"/>
  <c r="W59" i="3" s="1"/>
  <c r="S59" i="3" a="1"/>
  <c r="S59" i="3"/>
  <c r="R59" i="3" a="1"/>
  <c r="R59" i="3"/>
  <c r="Q59" i="3" a="1"/>
  <c r="Q59" i="3"/>
  <c r="Y59" i="3" s="1"/>
  <c r="P59" i="3" a="1"/>
  <c r="P59" i="3"/>
  <c r="O59" i="3" a="1"/>
  <c r="O59" i="3"/>
  <c r="N59" i="3" a="1"/>
  <c r="N59" i="3"/>
  <c r="AA59" i="3" s="1"/>
  <c r="M59" i="3" a="1"/>
  <c r="M59" i="3"/>
  <c r="Z59" i="3" s="1"/>
  <c r="L59" i="3" a="1"/>
  <c r="L59" i="3"/>
  <c r="K59" i="3" a="1"/>
  <c r="K59" i="3"/>
  <c r="J59" i="3" a="1"/>
  <c r="J59" i="3"/>
  <c r="I59" i="3" a="1"/>
  <c r="I59" i="3"/>
  <c r="X59" i="3" s="1"/>
  <c r="H59" i="3" a="1"/>
  <c r="H59" i="3"/>
  <c r="G59" i="3" a="1"/>
  <c r="G59" i="3"/>
  <c r="F59" i="3" a="1"/>
  <c r="F59" i="3"/>
  <c r="E59" i="3" a="1"/>
  <c r="E59" i="3"/>
  <c r="C59" i="3" a="1"/>
  <c r="C59" i="3"/>
  <c r="B59" i="3" a="1"/>
  <c r="B59" i="3"/>
  <c r="AD58" i="3"/>
  <c r="U58" i="3" a="1"/>
  <c r="U58" i="3"/>
  <c r="T58" i="3" a="1"/>
  <c r="T58" i="3"/>
  <c r="V58" i="3" s="1"/>
  <c r="W58" i="3" s="1"/>
  <c r="S58" i="3" a="1"/>
  <c r="S58" i="3"/>
  <c r="R58" i="3" a="1"/>
  <c r="R58" i="3"/>
  <c r="Q58" i="3" a="1"/>
  <c r="Q58" i="3"/>
  <c r="Y58" i="3" s="1"/>
  <c r="P58" i="3" a="1"/>
  <c r="P58" i="3"/>
  <c r="O58" i="3" a="1"/>
  <c r="O58" i="3"/>
  <c r="N58" i="3" a="1"/>
  <c r="N58" i="3"/>
  <c r="AA58" i="3" s="1"/>
  <c r="M58" i="3" a="1"/>
  <c r="M58" i="3"/>
  <c r="Z58" i="3" s="1"/>
  <c r="L58" i="3" a="1"/>
  <c r="L58" i="3"/>
  <c r="K58" i="3" a="1"/>
  <c r="K58" i="3"/>
  <c r="J58" i="3" a="1"/>
  <c r="J58" i="3"/>
  <c r="I58" i="3" a="1"/>
  <c r="I58" i="3"/>
  <c r="X58" i="3" s="1"/>
  <c r="H58" i="3" a="1"/>
  <c r="H58" i="3"/>
  <c r="G58" i="3" a="1"/>
  <c r="G58" i="3"/>
  <c r="F58" i="3" a="1"/>
  <c r="F58" i="3"/>
  <c r="E58" i="3" a="1"/>
  <c r="E58" i="3"/>
  <c r="C58" i="3" a="1"/>
  <c r="C58" i="3"/>
  <c r="B58" i="3" a="1"/>
  <c r="B58" i="3"/>
  <c r="AD57" i="3"/>
  <c r="U57" i="3" a="1"/>
  <c r="U57" i="3"/>
  <c r="T57" i="3" a="1"/>
  <c r="T57" i="3"/>
  <c r="V57" i="3" s="1"/>
  <c r="W57" i="3" s="1"/>
  <c r="S57" i="3" a="1"/>
  <c r="S57" i="3"/>
  <c r="R57" i="3" a="1"/>
  <c r="R57" i="3"/>
  <c r="Q57" i="3" a="1"/>
  <c r="Q57" i="3"/>
  <c r="Y57" i="3" s="1"/>
  <c r="P57" i="3" a="1"/>
  <c r="P57" i="3"/>
  <c r="O57" i="3" a="1"/>
  <c r="O57" i="3"/>
  <c r="N57" i="3" a="1"/>
  <c r="N57" i="3"/>
  <c r="AA57" i="3" s="1"/>
  <c r="M57" i="3" a="1"/>
  <c r="M57" i="3"/>
  <c r="Z57" i="3" s="1"/>
  <c r="L57" i="3" a="1"/>
  <c r="L57" i="3"/>
  <c r="K57" i="3" a="1"/>
  <c r="K57" i="3"/>
  <c r="J57" i="3" a="1"/>
  <c r="J57" i="3"/>
  <c r="I57" i="3" a="1"/>
  <c r="I57" i="3"/>
  <c r="X57" i="3" s="1"/>
  <c r="H57" i="3" a="1"/>
  <c r="H57" i="3"/>
  <c r="G57" i="3" a="1"/>
  <c r="G57" i="3"/>
  <c r="F57" i="3" a="1"/>
  <c r="F57" i="3"/>
  <c r="E57" i="3" a="1"/>
  <c r="E57" i="3"/>
  <c r="C57" i="3" a="1"/>
  <c r="C57" i="3"/>
  <c r="B57" i="3" a="1"/>
  <c r="B57" i="3"/>
  <c r="AD56" i="3"/>
  <c r="U56" i="3" a="1"/>
  <c r="U56" i="3"/>
  <c r="T56" i="3" a="1"/>
  <c r="T56" i="3"/>
  <c r="V56" i="3" s="1"/>
  <c r="W56" i="3" s="1"/>
  <c r="S56" i="3" a="1"/>
  <c r="S56" i="3"/>
  <c r="R56" i="3" a="1"/>
  <c r="R56" i="3"/>
  <c r="Q56" i="3" a="1"/>
  <c r="Q56" i="3"/>
  <c r="Y56" i="3" s="1"/>
  <c r="P56" i="3" a="1"/>
  <c r="P56" i="3"/>
  <c r="O56" i="3" a="1"/>
  <c r="O56" i="3"/>
  <c r="N56" i="3" a="1"/>
  <c r="N56" i="3"/>
  <c r="AA56" i="3" s="1"/>
  <c r="M56" i="3" a="1"/>
  <c r="M56" i="3"/>
  <c r="Z56" i="3" s="1"/>
  <c r="L56" i="3" a="1"/>
  <c r="L56" i="3"/>
  <c r="K56" i="3" a="1"/>
  <c r="K56" i="3"/>
  <c r="J56" i="3" a="1"/>
  <c r="J56" i="3"/>
  <c r="I56" i="3" a="1"/>
  <c r="I56" i="3"/>
  <c r="X56" i="3" s="1"/>
  <c r="H56" i="3" a="1"/>
  <c r="H56" i="3"/>
  <c r="G56" i="3" a="1"/>
  <c r="G56" i="3"/>
  <c r="F56" i="3" a="1"/>
  <c r="F56" i="3"/>
  <c r="E56" i="3" a="1"/>
  <c r="E56" i="3"/>
  <c r="C56" i="3" a="1"/>
  <c r="C56" i="3"/>
  <c r="B56" i="3" a="1"/>
  <c r="B56" i="3"/>
  <c r="AD55" i="3"/>
  <c r="U55" i="3" a="1"/>
  <c r="U55" i="3"/>
  <c r="T55" i="3" a="1"/>
  <c r="T55" i="3"/>
  <c r="V55" i="3" s="1"/>
  <c r="W55" i="3" s="1"/>
  <c r="S55" i="3" a="1"/>
  <c r="S55" i="3"/>
  <c r="R55" i="3" a="1"/>
  <c r="R55" i="3"/>
  <c r="Q55" i="3" a="1"/>
  <c r="Q55" i="3"/>
  <c r="Y55" i="3" s="1"/>
  <c r="P55" i="3" a="1"/>
  <c r="P55" i="3"/>
  <c r="O55" i="3" a="1"/>
  <c r="O55" i="3"/>
  <c r="N55" i="3" a="1"/>
  <c r="N55" i="3"/>
  <c r="AA55" i="3" s="1"/>
  <c r="M55" i="3" a="1"/>
  <c r="M55" i="3"/>
  <c r="Z55" i="3" s="1"/>
  <c r="L55" i="3" a="1"/>
  <c r="L55" i="3"/>
  <c r="K55" i="3" a="1"/>
  <c r="K55" i="3"/>
  <c r="J55" i="3" a="1"/>
  <c r="J55" i="3"/>
  <c r="I55" i="3" a="1"/>
  <c r="I55" i="3"/>
  <c r="X55" i="3" s="1"/>
  <c r="H55" i="3" a="1"/>
  <c r="H55" i="3"/>
  <c r="G55" i="3" a="1"/>
  <c r="G55" i="3"/>
  <c r="F55" i="3" a="1"/>
  <c r="F55" i="3"/>
  <c r="E55" i="3" a="1"/>
  <c r="E55" i="3"/>
  <c r="C55" i="3" a="1"/>
  <c r="C55" i="3"/>
  <c r="B55" i="3" a="1"/>
  <c r="B55" i="3"/>
  <c r="AD54" i="3"/>
  <c r="U54" i="3" a="1"/>
  <c r="U54" i="3"/>
  <c r="T54" i="3" a="1"/>
  <c r="T54" i="3"/>
  <c r="V54" i="3" s="1"/>
  <c r="W54" i="3" s="1"/>
  <c r="S54" i="3" a="1"/>
  <c r="S54" i="3"/>
  <c r="R54" i="3" a="1"/>
  <c r="R54" i="3"/>
  <c r="Q54" i="3" a="1"/>
  <c r="Q54" i="3"/>
  <c r="Y54" i="3" s="1"/>
  <c r="P54" i="3" a="1"/>
  <c r="P54" i="3"/>
  <c r="O54" i="3" a="1"/>
  <c r="O54" i="3"/>
  <c r="N54" i="3" a="1"/>
  <c r="N54" i="3"/>
  <c r="AA54" i="3" s="1"/>
  <c r="M54" i="3" a="1"/>
  <c r="M54" i="3"/>
  <c r="Z54" i="3" s="1"/>
  <c r="L54" i="3" a="1"/>
  <c r="L54" i="3"/>
  <c r="K54" i="3" a="1"/>
  <c r="K54" i="3"/>
  <c r="J54" i="3" a="1"/>
  <c r="J54" i="3"/>
  <c r="I54" i="3" a="1"/>
  <c r="I54" i="3"/>
  <c r="X54" i="3" s="1"/>
  <c r="H54" i="3" a="1"/>
  <c r="H54" i="3"/>
  <c r="G54" i="3" a="1"/>
  <c r="G54" i="3"/>
  <c r="F54" i="3" a="1"/>
  <c r="F54" i="3"/>
  <c r="E54" i="3" a="1"/>
  <c r="E54" i="3"/>
  <c r="C54" i="3" a="1"/>
  <c r="C54" i="3"/>
  <c r="B54" i="3" a="1"/>
  <c r="B54" i="3"/>
  <c r="AD53" i="3"/>
  <c r="U53" i="3" a="1"/>
  <c r="U53" i="3"/>
  <c r="T53" i="3" a="1"/>
  <c r="T53" i="3"/>
  <c r="V53" i="3" s="1"/>
  <c r="W53" i="3" s="1"/>
  <c r="S53" i="3" a="1"/>
  <c r="S53" i="3"/>
  <c r="R53" i="3" a="1"/>
  <c r="R53" i="3"/>
  <c r="Q53" i="3" a="1"/>
  <c r="Q53" i="3"/>
  <c r="Y53" i="3" s="1"/>
  <c r="P53" i="3" a="1"/>
  <c r="P53" i="3"/>
  <c r="O53" i="3" a="1"/>
  <c r="O53" i="3"/>
  <c r="N53" i="3" a="1"/>
  <c r="N53" i="3"/>
  <c r="AA53" i="3" s="1"/>
  <c r="M53" i="3" a="1"/>
  <c r="M53" i="3"/>
  <c r="Z53" i="3" s="1"/>
  <c r="L53" i="3" a="1"/>
  <c r="L53" i="3"/>
  <c r="K53" i="3" a="1"/>
  <c r="K53" i="3"/>
  <c r="J53" i="3" a="1"/>
  <c r="J53" i="3"/>
  <c r="I53" i="3" a="1"/>
  <c r="I53" i="3"/>
  <c r="H53" i="3" a="1"/>
  <c r="H53" i="3"/>
  <c r="G53" i="3" a="1"/>
  <c r="G53" i="3"/>
  <c r="F53" i="3" a="1"/>
  <c r="F53" i="3"/>
  <c r="E53" i="3" a="1"/>
  <c r="E53" i="3"/>
  <c r="C53" i="3" a="1"/>
  <c r="C53" i="3"/>
  <c r="B53" i="3" a="1"/>
  <c r="B53" i="3"/>
  <c r="AD52" i="3"/>
  <c r="U52" i="3" a="1"/>
  <c r="U52" i="3"/>
  <c r="T52" i="3" a="1"/>
  <c r="T52" i="3"/>
  <c r="V52" i="3" s="1"/>
  <c r="W52" i="3" s="1"/>
  <c r="S52" i="3" a="1"/>
  <c r="S52" i="3"/>
  <c r="R52" i="3" a="1"/>
  <c r="R52" i="3"/>
  <c r="Q52" i="3" a="1"/>
  <c r="Q52" i="3"/>
  <c r="Y52" i="3" s="1"/>
  <c r="P52" i="3" a="1"/>
  <c r="P52" i="3"/>
  <c r="O52" i="3" a="1"/>
  <c r="O52" i="3"/>
  <c r="N52" i="3" a="1"/>
  <c r="N52" i="3"/>
  <c r="AA52" i="3" s="1"/>
  <c r="M52" i="3" a="1"/>
  <c r="M52" i="3"/>
  <c r="Z52" i="3" s="1"/>
  <c r="L52" i="3" a="1"/>
  <c r="L52" i="3"/>
  <c r="K52" i="3" a="1"/>
  <c r="K52" i="3"/>
  <c r="J52" i="3" a="1"/>
  <c r="J52" i="3"/>
  <c r="I52" i="3" a="1"/>
  <c r="I52" i="3"/>
  <c r="X52" i="3" s="1"/>
  <c r="H52" i="3" a="1"/>
  <c r="H52" i="3"/>
  <c r="G52" i="3" a="1"/>
  <c r="G52" i="3"/>
  <c r="F52" i="3" a="1"/>
  <c r="F52" i="3"/>
  <c r="E52" i="3" a="1"/>
  <c r="E52" i="3"/>
  <c r="C52" i="3" a="1"/>
  <c r="C52" i="3"/>
  <c r="B52" i="3" a="1"/>
  <c r="B52" i="3"/>
  <c r="AD51" i="3"/>
  <c r="U51" i="3" a="1"/>
  <c r="U51" i="3"/>
  <c r="T51" i="3" a="1"/>
  <c r="T51" i="3"/>
  <c r="V51" i="3" s="1"/>
  <c r="W51" i="3" s="1"/>
  <c r="S51" i="3" a="1"/>
  <c r="S51" i="3"/>
  <c r="R51" i="3" a="1"/>
  <c r="R51" i="3"/>
  <c r="Q51" i="3" a="1"/>
  <c r="Q51" i="3"/>
  <c r="Y51" i="3" s="1"/>
  <c r="P51" i="3" a="1"/>
  <c r="P51" i="3"/>
  <c r="O51" i="3" a="1"/>
  <c r="O51" i="3"/>
  <c r="N51" i="3" a="1"/>
  <c r="N51" i="3"/>
  <c r="AA51" i="3" s="1"/>
  <c r="M51" i="3" a="1"/>
  <c r="M51" i="3"/>
  <c r="Z51" i="3" s="1"/>
  <c r="L51" i="3" a="1"/>
  <c r="L51" i="3"/>
  <c r="K51" i="3" a="1"/>
  <c r="K51" i="3"/>
  <c r="J51" i="3" a="1"/>
  <c r="J51" i="3"/>
  <c r="I51" i="3" a="1"/>
  <c r="I51" i="3"/>
  <c r="X51" i="3" s="1"/>
  <c r="H51" i="3" a="1"/>
  <c r="H51" i="3"/>
  <c r="G51" i="3" a="1"/>
  <c r="G51" i="3"/>
  <c r="F51" i="3" a="1"/>
  <c r="F51" i="3"/>
  <c r="E51" i="3" a="1"/>
  <c r="E51" i="3"/>
  <c r="C51" i="3" a="1"/>
  <c r="C51" i="3"/>
  <c r="B51" i="3" a="1"/>
  <c r="B51" i="3"/>
  <c r="AD50" i="3"/>
  <c r="U50" i="3" a="1"/>
  <c r="U50" i="3"/>
  <c r="T50" i="3" a="1"/>
  <c r="T50" i="3"/>
  <c r="V50" i="3" s="1"/>
  <c r="W50" i="3" s="1"/>
  <c r="S50" i="3" a="1"/>
  <c r="S50" i="3"/>
  <c r="R50" i="3" a="1"/>
  <c r="R50" i="3"/>
  <c r="Q50" i="3" a="1"/>
  <c r="Q50" i="3"/>
  <c r="Y50" i="3" s="1"/>
  <c r="P50" i="3" a="1"/>
  <c r="P50" i="3"/>
  <c r="O50" i="3" a="1"/>
  <c r="O50" i="3"/>
  <c r="N50" i="3" a="1"/>
  <c r="N50" i="3"/>
  <c r="AA50" i="3" s="1"/>
  <c r="M50" i="3" a="1"/>
  <c r="M50" i="3"/>
  <c r="Z50" i="3" s="1"/>
  <c r="L50" i="3" a="1"/>
  <c r="L50" i="3"/>
  <c r="K50" i="3" a="1"/>
  <c r="K50" i="3"/>
  <c r="J50" i="3" a="1"/>
  <c r="J50" i="3"/>
  <c r="I50" i="3" a="1"/>
  <c r="I50" i="3"/>
  <c r="X50" i="3" s="1"/>
  <c r="H50" i="3" a="1"/>
  <c r="H50" i="3"/>
  <c r="G50" i="3" a="1"/>
  <c r="G50" i="3"/>
  <c r="F50" i="3" a="1"/>
  <c r="F50" i="3"/>
  <c r="E50" i="3" a="1"/>
  <c r="E50" i="3"/>
  <c r="C50" i="3" a="1"/>
  <c r="C50" i="3"/>
  <c r="B50" i="3" a="1"/>
  <c r="B50" i="3"/>
  <c r="AD49" i="3"/>
  <c r="U49" i="3" a="1"/>
  <c r="U49" i="3"/>
  <c r="T49" i="3" a="1"/>
  <c r="T49" i="3"/>
  <c r="V49" i="3" s="1"/>
  <c r="W49" i="3" s="1"/>
  <c r="S49" i="3" a="1"/>
  <c r="S49" i="3"/>
  <c r="R49" i="3" a="1"/>
  <c r="R49" i="3"/>
  <c r="Q49" i="3" a="1"/>
  <c r="Q49" i="3"/>
  <c r="Y49" i="3" s="1"/>
  <c r="P49" i="3" a="1"/>
  <c r="P49" i="3"/>
  <c r="O49" i="3" a="1"/>
  <c r="O49" i="3"/>
  <c r="N49" i="3" a="1"/>
  <c r="N49" i="3"/>
  <c r="AA49" i="3" s="1"/>
  <c r="M49" i="3" a="1"/>
  <c r="M49" i="3"/>
  <c r="Z49" i="3" s="1"/>
  <c r="L49" i="3" a="1"/>
  <c r="L49" i="3"/>
  <c r="K49" i="3" a="1"/>
  <c r="K49" i="3"/>
  <c r="J49" i="3" a="1"/>
  <c r="J49" i="3"/>
  <c r="I49" i="3" a="1"/>
  <c r="I49" i="3"/>
  <c r="X49" i="3" s="1"/>
  <c r="H49" i="3" a="1"/>
  <c r="H49" i="3" s="1"/>
  <c r="G49" i="3" a="1"/>
  <c r="G49" i="3" s="1"/>
  <c r="F49" i="3" a="1"/>
  <c r="F49" i="3" s="1"/>
  <c r="E49" i="3" a="1"/>
  <c r="E49" i="3" s="1"/>
  <c r="C49" i="3" a="1"/>
  <c r="C49" i="3" s="1"/>
  <c r="B49" i="3" a="1"/>
  <c r="B49" i="3"/>
  <c r="AD48" i="3"/>
  <c r="U48" i="3" a="1"/>
  <c r="U48" i="3" s="1"/>
  <c r="T48" i="3" a="1"/>
  <c r="T48" i="3"/>
  <c r="V48" i="3" s="1"/>
  <c r="S48" i="3" a="1"/>
  <c r="S48" i="3" s="1"/>
  <c r="R48" i="3" a="1"/>
  <c r="R48" i="3"/>
  <c r="Q48" i="3" a="1"/>
  <c r="Q48" i="3" s="1"/>
  <c r="Y48" i="3" s="1"/>
  <c r="P48" i="3" a="1"/>
  <c r="P48" i="3" s="1"/>
  <c r="O48" i="3" a="1"/>
  <c r="O48" i="3" s="1"/>
  <c r="N48" i="3" a="1"/>
  <c r="N48" i="3"/>
  <c r="AA48" i="3" s="1"/>
  <c r="M48" i="3" a="1"/>
  <c r="M48" i="3" s="1"/>
  <c r="Z48" i="3" s="1"/>
  <c r="L48" i="3" a="1"/>
  <c r="L48" i="3"/>
  <c r="K48" i="3" a="1"/>
  <c r="K48" i="3" s="1"/>
  <c r="J48" i="3" a="1"/>
  <c r="J48" i="3"/>
  <c r="I48" i="3" a="1"/>
  <c r="I48" i="3" s="1"/>
  <c r="X48" i="3" s="1"/>
  <c r="H48" i="3" a="1"/>
  <c r="H48" i="3" s="1"/>
  <c r="G48" i="3" a="1"/>
  <c r="G48" i="3" s="1"/>
  <c r="F48" i="3" a="1"/>
  <c r="F48" i="3" s="1"/>
  <c r="E48" i="3" a="1"/>
  <c r="E48" i="3" s="1"/>
  <c r="C48" i="3" a="1"/>
  <c r="C48" i="3" s="1"/>
  <c r="B48" i="3" a="1"/>
  <c r="B48" i="3" s="1"/>
  <c r="AD47" i="3"/>
  <c r="U47" i="3" a="1"/>
  <c r="U47" i="3" s="1"/>
  <c r="T47" i="3" a="1"/>
  <c r="T47" i="3"/>
  <c r="V47" i="3" s="1"/>
  <c r="S47" i="3" a="1"/>
  <c r="S47" i="3" s="1"/>
  <c r="R47" i="3" a="1"/>
  <c r="R47" i="3"/>
  <c r="Q47" i="3" a="1"/>
  <c r="Q47" i="3" s="1"/>
  <c r="Y47" i="3" s="1"/>
  <c r="P47" i="3" a="1"/>
  <c r="P47" i="3"/>
  <c r="O47" i="3" a="1"/>
  <c r="O47" i="3" s="1"/>
  <c r="N47" i="3" a="1"/>
  <c r="N47" i="3"/>
  <c r="AA47" i="3" s="1"/>
  <c r="M47" i="3" a="1"/>
  <c r="M47" i="3" s="1"/>
  <c r="Z47" i="3" s="1"/>
  <c r="L47" i="3" a="1"/>
  <c r="L47" i="3"/>
  <c r="K47" i="3" a="1"/>
  <c r="K47" i="3" s="1"/>
  <c r="J47" i="3" a="1"/>
  <c r="J47" i="3"/>
  <c r="I47" i="3" a="1"/>
  <c r="I47" i="3" s="1"/>
  <c r="X47" i="3" s="1"/>
  <c r="H47" i="3" a="1"/>
  <c r="H47" i="3"/>
  <c r="G47" i="3" a="1"/>
  <c r="G47" i="3" s="1"/>
  <c r="F47" i="3" a="1"/>
  <c r="F47" i="3"/>
  <c r="E47" i="3" a="1"/>
  <c r="E47" i="3" s="1"/>
  <c r="C47" i="3" a="1"/>
  <c r="C47" i="3" s="1"/>
  <c r="B47" i="3" a="1"/>
  <c r="B47" i="3" s="1"/>
  <c r="AD46" i="3"/>
  <c r="U46" i="3" a="1"/>
  <c r="U46" i="3"/>
  <c r="T46" i="3" a="1"/>
  <c r="T46" i="3"/>
  <c r="V46" i="3" s="1"/>
  <c r="S46" i="3" a="1"/>
  <c r="S46" i="3"/>
  <c r="R46" i="3" a="1"/>
  <c r="R46" i="3"/>
  <c r="Q46" i="3" a="1"/>
  <c r="Q46" i="3"/>
  <c r="Y46" i="3" s="1"/>
  <c r="P46" i="3" a="1"/>
  <c r="P46" i="3"/>
  <c r="O46" i="3" a="1"/>
  <c r="O46" i="3"/>
  <c r="N46" i="3" a="1"/>
  <c r="N46" i="3"/>
  <c r="AA46" i="3" s="1"/>
  <c r="M46" i="3" a="1"/>
  <c r="M46" i="3"/>
  <c r="Z46" i="3" s="1"/>
  <c r="L46" i="3" a="1"/>
  <c r="L46" i="3"/>
  <c r="K46" i="3" a="1"/>
  <c r="K46" i="3"/>
  <c r="J46" i="3" a="1"/>
  <c r="J46" i="3" s="1"/>
  <c r="I46" i="3" a="1"/>
  <c r="I46" i="3" s="1"/>
  <c r="X46" i="3" s="1"/>
  <c r="H46" i="3" a="1"/>
  <c r="H46" i="3" s="1"/>
  <c r="G46" i="3" a="1"/>
  <c r="G46" i="3" s="1"/>
  <c r="F46" i="3" a="1"/>
  <c r="F46" i="3" s="1"/>
  <c r="E46" i="3" a="1"/>
  <c r="E46" i="3" s="1"/>
  <c r="C46" i="3" a="1"/>
  <c r="C46" i="3" s="1"/>
  <c r="B46" i="3" a="1"/>
  <c r="B46" i="3" s="1"/>
  <c r="AD45" i="3"/>
  <c r="U45" i="3" a="1"/>
  <c r="U45" i="3" s="1"/>
  <c r="T45" i="3" a="1"/>
  <c r="T45" i="3" s="1"/>
  <c r="V45" i="3" s="1"/>
  <c r="S45" i="3" a="1"/>
  <c r="S45" i="3" s="1"/>
  <c r="R45" i="3" a="1"/>
  <c r="R45" i="3" s="1"/>
  <c r="Q45" i="3" a="1"/>
  <c r="Q45" i="3" s="1"/>
  <c r="Y45" i="3" s="1"/>
  <c r="P45" i="3" a="1"/>
  <c r="P45" i="3" s="1"/>
  <c r="O45" i="3" a="1"/>
  <c r="O45" i="3" s="1"/>
  <c r="N45" i="3" a="1"/>
  <c r="N45" i="3" s="1"/>
  <c r="AA45" i="3" s="1"/>
  <c r="M45" i="3" a="1"/>
  <c r="M45" i="3" s="1"/>
  <c r="Z45" i="3" s="1"/>
  <c r="L45" i="3" a="1"/>
  <c r="L45" i="3" s="1"/>
  <c r="K45" i="3" a="1"/>
  <c r="K45" i="3" s="1"/>
  <c r="J45" i="3" a="1"/>
  <c r="J45" i="3" s="1"/>
  <c r="I45" i="3" a="1"/>
  <c r="I45" i="3" s="1"/>
  <c r="X45" i="3" s="1"/>
  <c r="H45" i="3" a="1"/>
  <c r="H45" i="3" s="1"/>
  <c r="G45" i="3" a="1"/>
  <c r="G45" i="3" s="1"/>
  <c r="F45" i="3" a="1"/>
  <c r="F45" i="3" s="1"/>
  <c r="E45" i="3" a="1"/>
  <c r="E45" i="3" s="1"/>
  <c r="C45" i="3" a="1"/>
  <c r="C45" i="3" s="1"/>
  <c r="B45" i="3" a="1"/>
  <c r="B45" i="3" s="1"/>
  <c r="AD44" i="3"/>
  <c r="U44" i="3" a="1"/>
  <c r="U44" i="3" s="1"/>
  <c r="T44" i="3" a="1"/>
  <c r="T44" i="3"/>
  <c r="V44" i="3" s="1"/>
  <c r="S44" i="3" a="1"/>
  <c r="S44" i="3" s="1"/>
  <c r="R44" i="3" a="1"/>
  <c r="R44" i="3" s="1"/>
  <c r="Q44" i="3" a="1"/>
  <c r="Q44" i="3" s="1"/>
  <c r="Y44" i="3" s="1"/>
  <c r="P44" i="3" a="1"/>
  <c r="P44" i="3"/>
  <c r="O44" i="3" a="1"/>
  <c r="O44" i="3" s="1"/>
  <c r="N44" i="3" a="1"/>
  <c r="N44" i="3"/>
  <c r="AA44" i="3" s="1"/>
  <c r="M44" i="3" a="1"/>
  <c r="M44" i="3" s="1"/>
  <c r="Z44" i="3" s="1"/>
  <c r="L44" i="3" a="1"/>
  <c r="L44" i="3" s="1"/>
  <c r="K44" i="3" a="1"/>
  <c r="K44" i="3" s="1"/>
  <c r="J44" i="3" a="1"/>
  <c r="J44" i="3"/>
  <c r="I44" i="3" a="1"/>
  <c r="I44" i="3" s="1"/>
  <c r="X44" i="3" s="1"/>
  <c r="H44" i="3" a="1"/>
  <c r="H44" i="3" s="1"/>
  <c r="G44" i="3" a="1"/>
  <c r="G44" i="3" s="1"/>
  <c r="F44" i="3" a="1"/>
  <c r="F44" i="3"/>
  <c r="E44" i="3" a="1"/>
  <c r="E44" i="3" s="1"/>
  <c r="C44" i="3" a="1"/>
  <c r="C44" i="3" s="1"/>
  <c r="B44" i="3" a="1"/>
  <c r="B44" i="3" s="1"/>
  <c r="AD43" i="3"/>
  <c r="U43" i="3" a="1"/>
  <c r="U43" i="3" s="1"/>
  <c r="T43" i="3" a="1"/>
  <c r="T43" i="3"/>
  <c r="V43" i="3" s="1"/>
  <c r="S43" i="3" a="1"/>
  <c r="S43" i="3" s="1"/>
  <c r="R43" i="3" a="1"/>
  <c r="R43" i="3" s="1"/>
  <c r="Q43" i="3" a="1"/>
  <c r="Q43" i="3" s="1"/>
  <c r="Y43" i="3" s="1"/>
  <c r="P43" i="3" a="1"/>
  <c r="P43" i="3"/>
  <c r="O43" i="3" a="1"/>
  <c r="O43" i="3" s="1"/>
  <c r="N43" i="3" a="1"/>
  <c r="N43" i="3"/>
  <c r="AA43" i="3" s="1"/>
  <c r="M43" i="3" a="1"/>
  <c r="M43" i="3" s="1"/>
  <c r="Z43" i="3" s="1"/>
  <c r="L43" i="3" a="1"/>
  <c r="L43" i="3" s="1"/>
  <c r="K43" i="3" a="1"/>
  <c r="K43" i="3" s="1"/>
  <c r="J43" i="3" a="1"/>
  <c r="J43" i="3"/>
  <c r="I43" i="3" a="1"/>
  <c r="I43" i="3" s="1"/>
  <c r="X43" i="3" s="1"/>
  <c r="H43" i="3" a="1"/>
  <c r="H43" i="3"/>
  <c r="G43" i="3" a="1"/>
  <c r="G43" i="3" s="1"/>
  <c r="F43" i="3" a="1"/>
  <c r="F43" i="3"/>
  <c r="E43" i="3" a="1"/>
  <c r="E43" i="3" s="1"/>
  <c r="C43" i="3" a="1"/>
  <c r="C43" i="3" s="1"/>
  <c r="B43" i="3" a="1"/>
  <c r="B43" i="3" s="1"/>
  <c r="AD42" i="3"/>
  <c r="U42" i="3" a="1"/>
  <c r="U42" i="3" s="1"/>
  <c r="T42" i="3" a="1"/>
  <c r="T42" i="3" s="1"/>
  <c r="V42" i="3" s="1"/>
  <c r="S42" i="3" a="1"/>
  <c r="S42" i="3" s="1"/>
  <c r="R42" i="3" a="1"/>
  <c r="R42" i="3" s="1"/>
  <c r="Q42" i="3" a="1"/>
  <c r="Q42" i="3" s="1"/>
  <c r="Y42" i="3" s="1"/>
  <c r="P42" i="3" a="1"/>
  <c r="P42" i="3" s="1"/>
  <c r="O42" i="3" a="1"/>
  <c r="O42" i="3" s="1"/>
  <c r="N42" i="3" a="1"/>
  <c r="N42" i="3"/>
  <c r="AA42" i="3" s="1"/>
  <c r="M42" i="3" a="1"/>
  <c r="M42" i="3" s="1"/>
  <c r="Z42" i="3" s="1"/>
  <c r="L42" i="3" a="1"/>
  <c r="L42" i="3"/>
  <c r="K42" i="3" a="1"/>
  <c r="K42" i="3" s="1"/>
  <c r="J42" i="3" a="1"/>
  <c r="J42" i="3"/>
  <c r="I42" i="3" a="1"/>
  <c r="I42" i="3" s="1"/>
  <c r="X42" i="3" s="1"/>
  <c r="H42" i="3" a="1"/>
  <c r="H42" i="3"/>
  <c r="G42" i="3" a="1"/>
  <c r="G42" i="3" s="1"/>
  <c r="F42" i="3" a="1"/>
  <c r="F42" i="3" s="1"/>
  <c r="E42" i="3" a="1"/>
  <c r="E42" i="3" s="1"/>
  <c r="C42" i="3" a="1"/>
  <c r="C42" i="3" s="1"/>
  <c r="B42" i="3" a="1"/>
  <c r="B42" i="3" s="1"/>
  <c r="AD41" i="3"/>
  <c r="U41" i="3" a="1"/>
  <c r="U41" i="3" s="1"/>
  <c r="T41" i="3" a="1"/>
  <c r="T41" i="3" s="1"/>
  <c r="V41" i="3" s="1"/>
  <c r="S41" i="3" a="1"/>
  <c r="S41" i="3" s="1"/>
  <c r="R41" i="3" a="1"/>
  <c r="R41" i="3"/>
  <c r="Q41" i="3" a="1"/>
  <c r="Q41" i="3" s="1"/>
  <c r="Y41" i="3" s="1"/>
  <c r="P41" i="3" a="1"/>
  <c r="P41" i="3" s="1"/>
  <c r="O41" i="3" a="1"/>
  <c r="O41" i="3" s="1"/>
  <c r="N41" i="3" a="1"/>
  <c r="N41" i="3"/>
  <c r="AA41" i="3" s="1"/>
  <c r="M41" i="3" a="1"/>
  <c r="M41" i="3" s="1"/>
  <c r="Z41" i="3" s="1"/>
  <c r="L41" i="3" a="1"/>
  <c r="L41" i="3"/>
  <c r="K41" i="3" a="1"/>
  <c r="K41" i="3" s="1"/>
  <c r="J41" i="3" a="1"/>
  <c r="J41" i="3"/>
  <c r="I41" i="3" a="1"/>
  <c r="I41" i="3" s="1"/>
  <c r="X41" i="3" s="1"/>
  <c r="H41" i="3" a="1"/>
  <c r="H41" i="3"/>
  <c r="G41" i="3" a="1"/>
  <c r="G41" i="3" s="1"/>
  <c r="F41" i="3" a="1"/>
  <c r="F41" i="3" s="1"/>
  <c r="E41" i="3" a="1"/>
  <c r="E41" i="3" s="1"/>
  <c r="C41" i="3" a="1"/>
  <c r="C41" i="3" s="1"/>
  <c r="B41" i="3" a="1"/>
  <c r="B41" i="3" s="1"/>
  <c r="AD40" i="3"/>
  <c r="U40" i="3" a="1"/>
  <c r="U40" i="3" s="1"/>
  <c r="T40" i="3" a="1"/>
  <c r="T40" i="3"/>
  <c r="V40" i="3" s="1"/>
  <c r="W40" i="3" s="1"/>
  <c r="S40" i="3" a="1"/>
  <c r="S40" i="3"/>
  <c r="R40" i="3" a="1"/>
  <c r="R40" i="3"/>
  <c r="Q40" i="3" a="1"/>
  <c r="Q40" i="3"/>
  <c r="Y40" i="3" s="1"/>
  <c r="P40" i="3" a="1"/>
  <c r="P40" i="3"/>
  <c r="O40" i="3" a="1"/>
  <c r="O40" i="3"/>
  <c r="N40" i="3" a="1"/>
  <c r="N40" i="3"/>
  <c r="AA40" i="3" s="1"/>
  <c r="M40" i="3" a="1"/>
  <c r="M40" i="3"/>
  <c r="Z40" i="3" s="1"/>
  <c r="L40" i="3" a="1"/>
  <c r="L40" i="3"/>
  <c r="K40" i="3" a="1"/>
  <c r="K40" i="3"/>
  <c r="J40" i="3" a="1"/>
  <c r="J40" i="3"/>
  <c r="I40" i="3" a="1"/>
  <c r="I40" i="3"/>
  <c r="X40" i="3" s="1"/>
  <c r="H40" i="3" a="1"/>
  <c r="H40" i="3"/>
  <c r="G40" i="3" a="1"/>
  <c r="G40" i="3"/>
  <c r="F40" i="3" a="1"/>
  <c r="F40" i="3"/>
  <c r="E40" i="3" a="1"/>
  <c r="E40" i="3"/>
  <c r="C40" i="3" a="1"/>
  <c r="C40" i="3"/>
  <c r="B40" i="3" a="1"/>
  <c r="B40" i="3"/>
  <c r="AD39" i="3"/>
  <c r="U39" i="3" a="1"/>
  <c r="U39" i="3"/>
  <c r="T39" i="3" a="1"/>
  <c r="T39" i="3"/>
  <c r="V39" i="3" s="1"/>
  <c r="W39" i="3" s="1"/>
  <c r="S39" i="3" a="1"/>
  <c r="S39" i="3"/>
  <c r="R39" i="3" a="1"/>
  <c r="R39" i="3"/>
  <c r="Q39" i="3" a="1"/>
  <c r="Q39" i="3"/>
  <c r="Y39" i="3" s="1"/>
  <c r="P39" i="3" a="1"/>
  <c r="P39" i="3"/>
  <c r="O39" i="3" a="1"/>
  <c r="O39" i="3"/>
  <c r="N39" i="3" a="1"/>
  <c r="N39" i="3"/>
  <c r="AA39" i="3" s="1"/>
  <c r="M39" i="3" a="1"/>
  <c r="M39" i="3"/>
  <c r="Z39" i="3" s="1"/>
  <c r="L39" i="3" a="1"/>
  <c r="L39" i="3"/>
  <c r="K39" i="3" a="1"/>
  <c r="K39" i="3"/>
  <c r="J39" i="3" a="1"/>
  <c r="J39" i="3"/>
  <c r="I39" i="3" a="1"/>
  <c r="I39" i="3"/>
  <c r="X39" i="3" s="1"/>
  <c r="H39" i="3" a="1"/>
  <c r="H39" i="3"/>
  <c r="G39" i="3" a="1"/>
  <c r="G39" i="3"/>
  <c r="F39" i="3" a="1"/>
  <c r="F39" i="3"/>
  <c r="E39" i="3" a="1"/>
  <c r="E39" i="3"/>
  <c r="C39" i="3" a="1"/>
  <c r="C39" i="3"/>
  <c r="B39" i="3" a="1"/>
  <c r="B39" i="3"/>
  <c r="AD38" i="3"/>
  <c r="U38" i="3" a="1"/>
  <c r="U38" i="3"/>
  <c r="T38" i="3" a="1"/>
  <c r="T38" i="3"/>
  <c r="V38" i="3" s="1"/>
  <c r="W38" i="3" s="1"/>
  <c r="S38" i="3" a="1"/>
  <c r="S38" i="3"/>
  <c r="R38" i="3" a="1"/>
  <c r="R38" i="3"/>
  <c r="Q38" i="3" a="1"/>
  <c r="Q38" i="3"/>
  <c r="Y38" i="3" s="1"/>
  <c r="P38" i="3" a="1"/>
  <c r="P38" i="3"/>
  <c r="O38" i="3" a="1"/>
  <c r="O38" i="3"/>
  <c r="N38" i="3" a="1"/>
  <c r="N38" i="3"/>
  <c r="AA38" i="3" s="1"/>
  <c r="M38" i="3" a="1"/>
  <c r="M38" i="3"/>
  <c r="Z38" i="3" s="1"/>
  <c r="L38" i="3" a="1"/>
  <c r="L38" i="3"/>
  <c r="K38" i="3" a="1"/>
  <c r="K38" i="3"/>
  <c r="J38" i="3" a="1"/>
  <c r="J38" i="3"/>
  <c r="I38" i="3" a="1"/>
  <c r="I38" i="3"/>
  <c r="X38" i="3" s="1"/>
  <c r="H38" i="3" a="1"/>
  <c r="H38" i="3"/>
  <c r="G38" i="3" a="1"/>
  <c r="G38" i="3"/>
  <c r="F38" i="3" a="1"/>
  <c r="F38" i="3"/>
  <c r="E38" i="3" a="1"/>
  <c r="E38" i="3"/>
  <c r="C38" i="3" a="1"/>
  <c r="C38" i="3"/>
  <c r="B38" i="3" a="1"/>
  <c r="B38" i="3"/>
  <c r="AD37" i="3"/>
  <c r="U37" i="3" a="1"/>
  <c r="U37" i="3"/>
  <c r="T37" i="3" a="1"/>
  <c r="T37" i="3"/>
  <c r="V37" i="3" s="1"/>
  <c r="W37" i="3" s="1"/>
  <c r="S37" i="3" a="1"/>
  <c r="S37" i="3"/>
  <c r="R37" i="3" a="1"/>
  <c r="R37" i="3"/>
  <c r="Q37" i="3" a="1"/>
  <c r="Q37" i="3"/>
  <c r="Y37" i="3" s="1"/>
  <c r="P37" i="3" a="1"/>
  <c r="P37" i="3"/>
  <c r="O37" i="3" a="1"/>
  <c r="O37" i="3"/>
  <c r="N37" i="3" a="1"/>
  <c r="N37" i="3"/>
  <c r="AA37" i="3" s="1"/>
  <c r="M37" i="3" a="1"/>
  <c r="M37" i="3"/>
  <c r="Z37" i="3" s="1"/>
  <c r="L37" i="3" a="1"/>
  <c r="L37" i="3"/>
  <c r="K37" i="3" a="1"/>
  <c r="K37" i="3"/>
  <c r="J37" i="3" a="1"/>
  <c r="J37" i="3"/>
  <c r="I37" i="3" a="1"/>
  <c r="I37" i="3"/>
  <c r="X37" i="3" s="1"/>
  <c r="H37" i="3" a="1"/>
  <c r="H37" i="3"/>
  <c r="G37" i="3" a="1"/>
  <c r="G37" i="3"/>
  <c r="F37" i="3" a="1"/>
  <c r="F37" i="3"/>
  <c r="E37" i="3" a="1"/>
  <c r="E37" i="3"/>
  <c r="C37" i="3" a="1"/>
  <c r="C37" i="3"/>
  <c r="B37" i="3" a="1"/>
  <c r="B37" i="3"/>
  <c r="AD36" i="3"/>
  <c r="U36" i="3" a="1"/>
  <c r="U36" i="3" s="1"/>
  <c r="T36" i="3" a="1"/>
  <c r="T36" i="3"/>
  <c r="V36" i="3" s="1"/>
  <c r="S36" i="3" a="1"/>
  <c r="S36" i="3"/>
  <c r="R36" i="3" a="1"/>
  <c r="R36" i="3" s="1"/>
  <c r="Q36" i="3" a="1"/>
  <c r="Q36" i="3" s="1"/>
  <c r="Y36" i="3" s="1"/>
  <c r="P36" i="3" a="1"/>
  <c r="P36" i="3" s="1"/>
  <c r="O36" i="3" a="1"/>
  <c r="O36" i="3" s="1"/>
  <c r="N36" i="3" a="1"/>
  <c r="N36" i="3" s="1"/>
  <c r="AA36" i="3" s="1"/>
  <c r="M36" i="3" a="1"/>
  <c r="M36" i="3" s="1"/>
  <c r="Z36" i="3" s="1"/>
  <c r="L36" i="3" a="1"/>
  <c r="L36" i="3" s="1"/>
  <c r="K36" i="3" a="1"/>
  <c r="K36" i="3" s="1"/>
  <c r="J36" i="3" a="1"/>
  <c r="J36" i="3" s="1"/>
  <c r="I36" i="3" a="1"/>
  <c r="I36" i="3" s="1"/>
  <c r="X36" i="3" s="1"/>
  <c r="H36" i="3" a="1"/>
  <c r="H36" i="3" s="1"/>
  <c r="G36" i="3" a="1"/>
  <c r="G36" i="3" s="1"/>
  <c r="F36" i="3" a="1"/>
  <c r="F36" i="3" s="1"/>
  <c r="E36" i="3" a="1"/>
  <c r="E36" i="3" s="1"/>
  <c r="C36" i="3" a="1"/>
  <c r="C36" i="3" s="1"/>
  <c r="B36" i="3" a="1"/>
  <c r="B36" i="3" s="1"/>
  <c r="AD35" i="3"/>
  <c r="U35" i="3" a="1"/>
  <c r="U35" i="3"/>
  <c r="T35" i="3" a="1"/>
  <c r="T35" i="3"/>
  <c r="V35" i="3" s="1"/>
  <c r="W35" i="3" s="1"/>
  <c r="S35" i="3" a="1"/>
  <c r="S35" i="3"/>
  <c r="R35" i="3" a="1"/>
  <c r="R35" i="3"/>
  <c r="Q35" i="3" a="1"/>
  <c r="Q35" i="3"/>
  <c r="Y35" i="3" s="1"/>
  <c r="P35" i="3" a="1"/>
  <c r="P35" i="3"/>
  <c r="O35" i="3" a="1"/>
  <c r="O35" i="3"/>
  <c r="N35" i="3" a="1"/>
  <c r="N35" i="3"/>
  <c r="AA35" i="3" s="1"/>
  <c r="M35" i="3" a="1"/>
  <c r="M35" i="3"/>
  <c r="Z35" i="3" s="1"/>
  <c r="L35" i="3" a="1"/>
  <c r="L35" i="3"/>
  <c r="K35" i="3" a="1"/>
  <c r="K35" i="3"/>
  <c r="J35" i="3" a="1"/>
  <c r="J35" i="3"/>
  <c r="I35" i="3" a="1"/>
  <c r="I35" i="3"/>
  <c r="X35" i="3" s="1"/>
  <c r="H35" i="3" a="1"/>
  <c r="H35" i="3"/>
  <c r="G35" i="3" a="1"/>
  <c r="G35" i="3"/>
  <c r="F35" i="3" a="1"/>
  <c r="F35" i="3"/>
  <c r="E35" i="3" a="1"/>
  <c r="E35" i="3"/>
  <c r="C35" i="3" a="1"/>
  <c r="C35" i="3"/>
  <c r="B35" i="3" a="1"/>
  <c r="B35" i="3"/>
  <c r="AD34" i="3"/>
  <c r="U34" i="3" a="1"/>
  <c r="U34" i="3"/>
  <c r="T34" i="3" a="1"/>
  <c r="T34" i="3"/>
  <c r="V34" i="3" s="1"/>
  <c r="W34" i="3" s="1"/>
  <c r="S34" i="3" a="1"/>
  <c r="S34" i="3"/>
  <c r="R34" i="3" a="1"/>
  <c r="R34" i="3"/>
  <c r="Q34" i="3" a="1"/>
  <c r="Q34" i="3"/>
  <c r="Y34" i="3" s="1"/>
  <c r="P34" i="3" a="1"/>
  <c r="P34" i="3"/>
  <c r="O34" i="3" a="1"/>
  <c r="O34" i="3"/>
  <c r="N34" i="3" a="1"/>
  <c r="N34" i="3"/>
  <c r="AA34" i="3" s="1"/>
  <c r="M34" i="3" a="1"/>
  <c r="M34" i="3"/>
  <c r="Z34" i="3" s="1"/>
  <c r="L34" i="3" a="1"/>
  <c r="L34" i="3"/>
  <c r="K34" i="3" a="1"/>
  <c r="K34" i="3"/>
  <c r="J34" i="3" a="1"/>
  <c r="J34" i="3"/>
  <c r="I34" i="3" a="1"/>
  <c r="I34" i="3"/>
  <c r="X34" i="3" s="1"/>
  <c r="H34" i="3" a="1"/>
  <c r="H34" i="3"/>
  <c r="G34" i="3" a="1"/>
  <c r="G34" i="3"/>
  <c r="F34" i="3" a="1"/>
  <c r="F34" i="3"/>
  <c r="E34" i="3" a="1"/>
  <c r="E34" i="3"/>
  <c r="C34" i="3" a="1"/>
  <c r="C34" i="3"/>
  <c r="B34" i="3" a="1"/>
  <c r="B34" i="3"/>
  <c r="AD33" i="3"/>
  <c r="U33" i="3" a="1"/>
  <c r="U33" i="3"/>
  <c r="T33" i="3" a="1"/>
  <c r="T33" i="3"/>
  <c r="V33" i="3" s="1"/>
  <c r="W33" i="3" s="1"/>
  <c r="S33" i="3" a="1"/>
  <c r="S33" i="3"/>
  <c r="R33" i="3" a="1"/>
  <c r="R33" i="3"/>
  <c r="Q33" i="3" a="1"/>
  <c r="Q33" i="3"/>
  <c r="Y33" i="3" s="1"/>
  <c r="P33" i="3" a="1"/>
  <c r="P33" i="3"/>
  <c r="O33" i="3" a="1"/>
  <c r="O33" i="3"/>
  <c r="N33" i="3" a="1"/>
  <c r="N33" i="3"/>
  <c r="AA33" i="3" s="1"/>
  <c r="M33" i="3" a="1"/>
  <c r="M33" i="3"/>
  <c r="Z33" i="3" s="1"/>
  <c r="L33" i="3" a="1"/>
  <c r="L33" i="3"/>
  <c r="K33" i="3" a="1"/>
  <c r="K33" i="3"/>
  <c r="J33" i="3" a="1"/>
  <c r="J33" i="3"/>
  <c r="I33" i="3" a="1"/>
  <c r="I33" i="3"/>
  <c r="X33" i="3" s="1"/>
  <c r="H33" i="3" a="1"/>
  <c r="H33" i="3"/>
  <c r="G33" i="3" a="1"/>
  <c r="G33" i="3"/>
  <c r="F33" i="3" a="1"/>
  <c r="F33" i="3"/>
  <c r="E33" i="3" a="1"/>
  <c r="E33" i="3"/>
  <c r="C33" i="3" a="1"/>
  <c r="C33" i="3"/>
  <c r="B33" i="3" a="1"/>
  <c r="B33" i="3"/>
  <c r="AD32" i="3"/>
  <c r="U32" i="3" a="1"/>
  <c r="U32" i="3"/>
  <c r="T32" i="3" a="1"/>
  <c r="T32" i="3"/>
  <c r="V32" i="3" s="1"/>
  <c r="W32" i="3" s="1"/>
  <c r="S32" i="3" a="1"/>
  <c r="S32" i="3"/>
  <c r="R32" i="3" a="1"/>
  <c r="R32" i="3"/>
  <c r="Q32" i="3" a="1"/>
  <c r="Q32" i="3"/>
  <c r="Y32" i="3" s="1"/>
  <c r="P32" i="3" a="1"/>
  <c r="P32" i="3"/>
  <c r="O32" i="3" a="1"/>
  <c r="O32" i="3"/>
  <c r="N32" i="3" a="1"/>
  <c r="N32" i="3"/>
  <c r="AA32" i="3" s="1"/>
  <c r="M32" i="3" a="1"/>
  <c r="M32" i="3"/>
  <c r="Z32" i="3" s="1"/>
  <c r="L32" i="3" a="1"/>
  <c r="L32" i="3"/>
  <c r="K32" i="3" a="1"/>
  <c r="K32" i="3"/>
  <c r="J32" i="3" a="1"/>
  <c r="J32" i="3"/>
  <c r="I32" i="3" a="1"/>
  <c r="I32" i="3"/>
  <c r="X32" i="3" s="1"/>
  <c r="H32" i="3" a="1"/>
  <c r="H32" i="3"/>
  <c r="G32" i="3" a="1"/>
  <c r="G32" i="3"/>
  <c r="F32" i="3" a="1"/>
  <c r="F32" i="3"/>
  <c r="E32" i="3" a="1"/>
  <c r="E32" i="3"/>
  <c r="C32" i="3" a="1"/>
  <c r="C32" i="3"/>
  <c r="B32" i="3" a="1"/>
  <c r="B32" i="3"/>
  <c r="AD31" i="3"/>
  <c r="U31" i="3" a="1"/>
  <c r="U31" i="3"/>
  <c r="T31" i="3" a="1"/>
  <c r="T31" i="3"/>
  <c r="V31" i="3" s="1"/>
  <c r="W31" i="3" s="1"/>
  <c r="S31" i="3" a="1"/>
  <c r="S31" i="3"/>
  <c r="R31" i="3" a="1"/>
  <c r="R31" i="3"/>
  <c r="Q31" i="3" a="1"/>
  <c r="Q31" i="3"/>
  <c r="Y31" i="3" s="1"/>
  <c r="P31" i="3" a="1"/>
  <c r="P31" i="3"/>
  <c r="O31" i="3" a="1"/>
  <c r="O31" i="3"/>
  <c r="N31" i="3" a="1"/>
  <c r="N31" i="3"/>
  <c r="AA31" i="3" s="1"/>
  <c r="M31" i="3" a="1"/>
  <c r="M31" i="3"/>
  <c r="Z31" i="3" s="1"/>
  <c r="L31" i="3" a="1"/>
  <c r="L31" i="3"/>
  <c r="K31" i="3" a="1"/>
  <c r="K31" i="3"/>
  <c r="J31" i="3" a="1"/>
  <c r="J31" i="3"/>
  <c r="I31" i="3" a="1"/>
  <c r="I31" i="3"/>
  <c r="X31" i="3" s="1"/>
  <c r="H31" i="3" a="1"/>
  <c r="H31" i="3"/>
  <c r="G31" i="3" a="1"/>
  <c r="G31" i="3"/>
  <c r="F31" i="3" a="1"/>
  <c r="F31" i="3"/>
  <c r="E31" i="3" a="1"/>
  <c r="E31" i="3"/>
  <c r="C31" i="3" a="1"/>
  <c r="C31" i="3"/>
  <c r="B31" i="3" a="1"/>
  <c r="B31" i="3"/>
  <c r="AD30" i="3"/>
  <c r="U30" i="3" a="1"/>
  <c r="U30" i="3"/>
  <c r="T30" i="3" a="1"/>
  <c r="T30" i="3"/>
  <c r="V30" i="3" s="1"/>
  <c r="W30" i="3" s="1"/>
  <c r="S30" i="3" a="1"/>
  <c r="S30" i="3"/>
  <c r="R30" i="3" a="1"/>
  <c r="R30" i="3"/>
  <c r="Q30" i="3" a="1"/>
  <c r="Q30" i="3"/>
  <c r="Y30" i="3" s="1"/>
  <c r="P30" i="3" a="1"/>
  <c r="P30" i="3"/>
  <c r="O30" i="3" a="1"/>
  <c r="O30" i="3"/>
  <c r="N30" i="3" a="1"/>
  <c r="N30" i="3"/>
  <c r="AA30" i="3" s="1"/>
  <c r="M30" i="3" a="1"/>
  <c r="M30" i="3"/>
  <c r="Z30" i="3" s="1"/>
  <c r="L30" i="3" a="1"/>
  <c r="L30" i="3"/>
  <c r="K30" i="3" a="1"/>
  <c r="K30" i="3"/>
  <c r="J30" i="3" a="1"/>
  <c r="J30" i="3"/>
  <c r="I30" i="3" a="1"/>
  <c r="I30" i="3"/>
  <c r="X30" i="3" s="1"/>
  <c r="H30" i="3" a="1"/>
  <c r="H30" i="3"/>
  <c r="G30" i="3" a="1"/>
  <c r="G30" i="3"/>
  <c r="F30" i="3" a="1"/>
  <c r="F30" i="3"/>
  <c r="E30" i="3" a="1"/>
  <c r="E30" i="3"/>
  <c r="C30" i="3" a="1"/>
  <c r="C30" i="3"/>
  <c r="B30" i="3" a="1"/>
  <c r="B30" i="3"/>
  <c r="AD29" i="3"/>
  <c r="U29" i="3" a="1"/>
  <c r="U29" i="3"/>
  <c r="T29" i="3" a="1"/>
  <c r="T29" i="3"/>
  <c r="V29" i="3" s="1"/>
  <c r="W29" i="3" s="1"/>
  <c r="S29" i="3" a="1"/>
  <c r="S29" i="3"/>
  <c r="R29" i="3" a="1"/>
  <c r="R29" i="3"/>
  <c r="Q29" i="3" a="1"/>
  <c r="Q29" i="3"/>
  <c r="Y29" i="3" s="1"/>
  <c r="P29" i="3" a="1"/>
  <c r="P29" i="3"/>
  <c r="O29" i="3" a="1"/>
  <c r="O29" i="3"/>
  <c r="N29" i="3" a="1"/>
  <c r="N29" i="3"/>
  <c r="AA29" i="3" s="1"/>
  <c r="M29" i="3" a="1"/>
  <c r="M29" i="3"/>
  <c r="Z29" i="3" s="1"/>
  <c r="L29" i="3" a="1"/>
  <c r="L29" i="3"/>
  <c r="K29" i="3" a="1"/>
  <c r="K29" i="3"/>
  <c r="J29" i="3" a="1"/>
  <c r="J29" i="3"/>
  <c r="I29" i="3" a="1"/>
  <c r="I29" i="3"/>
  <c r="X29" i="3" s="1"/>
  <c r="H29" i="3" a="1"/>
  <c r="H29" i="3"/>
  <c r="G29" i="3" a="1"/>
  <c r="G29" i="3"/>
  <c r="F29" i="3" a="1"/>
  <c r="F29" i="3"/>
  <c r="E29" i="3" a="1"/>
  <c r="E29" i="3"/>
  <c r="C29" i="3" a="1"/>
  <c r="C29" i="3"/>
  <c r="B29" i="3" a="1"/>
  <c r="B29" i="3"/>
  <c r="AD28" i="3"/>
  <c r="U28" i="3" a="1"/>
  <c r="U28" i="3"/>
  <c r="T28" i="3" a="1"/>
  <c r="T28" i="3"/>
  <c r="V28" i="3" s="1"/>
  <c r="W28" i="3" s="1"/>
  <c r="S28" i="3" a="1"/>
  <c r="S28" i="3"/>
  <c r="R28" i="3" a="1"/>
  <c r="R28" i="3"/>
  <c r="Q28" i="3" a="1"/>
  <c r="Q28" i="3"/>
  <c r="Y28" i="3" s="1"/>
  <c r="P28" i="3" a="1"/>
  <c r="P28" i="3"/>
  <c r="O28" i="3" a="1"/>
  <c r="O28" i="3"/>
  <c r="N28" i="3" a="1"/>
  <c r="N28" i="3"/>
  <c r="AA28" i="3" s="1"/>
  <c r="M28" i="3" a="1"/>
  <c r="M28" i="3"/>
  <c r="Z28" i="3" s="1"/>
  <c r="L28" i="3" a="1"/>
  <c r="L28" i="3"/>
  <c r="K28" i="3" a="1"/>
  <c r="K28" i="3"/>
  <c r="J28" i="3" a="1"/>
  <c r="J28" i="3"/>
  <c r="I28" i="3" a="1"/>
  <c r="I28" i="3"/>
  <c r="X28" i="3" s="1"/>
  <c r="H28" i="3" a="1"/>
  <c r="H28" i="3"/>
  <c r="G28" i="3" a="1"/>
  <c r="G28" i="3"/>
  <c r="F28" i="3" a="1"/>
  <c r="F28" i="3"/>
  <c r="E28" i="3" a="1"/>
  <c r="E28" i="3"/>
  <c r="C28" i="3" a="1"/>
  <c r="C28" i="3"/>
  <c r="B28" i="3" a="1"/>
  <c r="B28" i="3"/>
  <c r="AD27" i="3"/>
  <c r="U27" i="3" a="1"/>
  <c r="U27" i="3"/>
  <c r="T27" i="3" a="1"/>
  <c r="T27" i="3"/>
  <c r="V27" i="3" s="1"/>
  <c r="W27" i="3" s="1"/>
  <c r="S27" i="3" a="1"/>
  <c r="S27" i="3"/>
  <c r="R27" i="3" a="1"/>
  <c r="R27" i="3"/>
  <c r="Q27" i="3" a="1"/>
  <c r="Q27" i="3"/>
  <c r="Y27" i="3" s="1"/>
  <c r="P27" i="3" a="1"/>
  <c r="P27" i="3"/>
  <c r="O27" i="3" a="1"/>
  <c r="O27" i="3"/>
  <c r="N27" i="3" a="1"/>
  <c r="N27" i="3"/>
  <c r="AA27" i="3" s="1"/>
  <c r="M27" i="3" a="1"/>
  <c r="M27" i="3"/>
  <c r="Z27" i="3" s="1"/>
  <c r="L27" i="3" a="1"/>
  <c r="L27" i="3"/>
  <c r="K27" i="3" a="1"/>
  <c r="K27" i="3"/>
  <c r="J27" i="3" a="1"/>
  <c r="J27" i="3"/>
  <c r="I27" i="3" a="1"/>
  <c r="I27" i="3"/>
  <c r="X27" i="3" s="1"/>
  <c r="H27" i="3" a="1"/>
  <c r="H27" i="3"/>
  <c r="G27" i="3" a="1"/>
  <c r="G27" i="3"/>
  <c r="F27" i="3" a="1"/>
  <c r="F27" i="3"/>
  <c r="E27" i="3" a="1"/>
  <c r="E27" i="3"/>
  <c r="C27" i="3" a="1"/>
  <c r="C27" i="3"/>
  <c r="B27" i="3" a="1"/>
  <c r="B27" i="3"/>
  <c r="AD26" i="3"/>
  <c r="U26" i="3" a="1"/>
  <c r="U26" i="3"/>
  <c r="T26" i="3" a="1"/>
  <c r="T26" i="3"/>
  <c r="V26" i="3" s="1"/>
  <c r="W26" i="3" s="1"/>
  <c r="S26" i="3" a="1"/>
  <c r="S26" i="3"/>
  <c r="R26" i="3" a="1"/>
  <c r="R26" i="3"/>
  <c r="Q26" i="3" a="1"/>
  <c r="Q26" i="3"/>
  <c r="Y26" i="3" s="1"/>
  <c r="P26" i="3" a="1"/>
  <c r="P26" i="3"/>
  <c r="O26" i="3" a="1"/>
  <c r="O26" i="3"/>
  <c r="N26" i="3" a="1"/>
  <c r="N26" i="3"/>
  <c r="AA26" i="3" s="1"/>
  <c r="M26" i="3" a="1"/>
  <c r="M26" i="3"/>
  <c r="Z26" i="3" s="1"/>
  <c r="L26" i="3" a="1"/>
  <c r="L26" i="3"/>
  <c r="K26" i="3" a="1"/>
  <c r="K26" i="3"/>
  <c r="J26" i="3" a="1"/>
  <c r="J26" i="3"/>
  <c r="I26" i="3" a="1"/>
  <c r="I26" i="3"/>
  <c r="X26" i="3" s="1"/>
  <c r="H26" i="3" a="1"/>
  <c r="H26" i="3"/>
  <c r="G26" i="3" a="1"/>
  <c r="G26" i="3"/>
  <c r="F26" i="3" a="1"/>
  <c r="F26" i="3"/>
  <c r="E26" i="3" a="1"/>
  <c r="E26" i="3"/>
  <c r="C26" i="3" a="1"/>
  <c r="C26" i="3"/>
  <c r="B26" i="3" a="1"/>
  <c r="B26" i="3"/>
  <c r="AD25" i="3"/>
  <c r="U25" i="3" a="1"/>
  <c r="U25" i="3"/>
  <c r="T25" i="3" a="1"/>
  <c r="T25" i="3"/>
  <c r="V25" i="3" s="1"/>
  <c r="W25" i="3" s="1"/>
  <c r="S25" i="3" a="1"/>
  <c r="S25" i="3"/>
  <c r="R25" i="3" a="1"/>
  <c r="R25" i="3"/>
  <c r="Q25" i="3" a="1"/>
  <c r="Q25" i="3"/>
  <c r="P25" i="3" a="1"/>
  <c r="P25" i="3"/>
  <c r="O25" i="3" a="1"/>
  <c r="O25" i="3"/>
  <c r="N25" i="3" a="1"/>
  <c r="N25" i="3"/>
  <c r="M25" i="3" a="1"/>
  <c r="M25" i="3"/>
  <c r="L25" i="3" a="1"/>
  <c r="L25" i="3"/>
  <c r="K25" i="3" a="1"/>
  <c r="K25" i="3"/>
  <c r="J25" i="3" a="1"/>
  <c r="J25" i="3"/>
  <c r="I25" i="3" a="1"/>
  <c r="I25" i="3"/>
  <c r="X25" i="3" s="1"/>
  <c r="H25" i="3" a="1"/>
  <c r="H25" i="3"/>
  <c r="G25" i="3" a="1"/>
  <c r="G25" i="3"/>
  <c r="F25" i="3" a="1"/>
  <c r="F25" i="3"/>
  <c r="E25" i="3" a="1"/>
  <c r="E25" i="3"/>
  <c r="C25" i="3" a="1"/>
  <c r="C25" i="3"/>
  <c r="B25" i="3" a="1"/>
  <c r="B25" i="3"/>
  <c r="AD24" i="3"/>
  <c r="U24" i="3" a="1"/>
  <c r="U24" i="3"/>
  <c r="T24" i="3" a="1"/>
  <c r="T24" i="3"/>
  <c r="V24" i="3" s="1"/>
  <c r="W24" i="3" s="1"/>
  <c r="S24" i="3" a="1"/>
  <c r="S24" i="3"/>
  <c r="R24" i="3" a="1"/>
  <c r="R24" i="3"/>
  <c r="Q24" i="3" a="1"/>
  <c r="Q24" i="3"/>
  <c r="P24" i="3" a="1"/>
  <c r="P24" i="3"/>
  <c r="O24" i="3" a="1"/>
  <c r="O24" i="3"/>
  <c r="N24" i="3" a="1"/>
  <c r="N24" i="3"/>
  <c r="M24" i="3" a="1"/>
  <c r="M24" i="3"/>
  <c r="L24" i="3" a="1"/>
  <c r="L24" i="3"/>
  <c r="K24" i="3" a="1"/>
  <c r="K24" i="3"/>
  <c r="J24" i="3" a="1"/>
  <c r="J24" i="3"/>
  <c r="I24" i="3" a="1"/>
  <c r="I24" i="3"/>
  <c r="X24" i="3" s="1"/>
  <c r="H24" i="3" a="1"/>
  <c r="H24" i="3"/>
  <c r="G24" i="3" a="1"/>
  <c r="G24" i="3"/>
  <c r="F24" i="3" a="1"/>
  <c r="F24" i="3"/>
  <c r="E24" i="3" a="1"/>
  <c r="E24" i="3"/>
  <c r="C24" i="3" a="1"/>
  <c r="C24" i="3"/>
  <c r="B24" i="3" a="1"/>
  <c r="B24" i="3"/>
  <c r="AD23" i="3"/>
  <c r="U23" i="3" a="1"/>
  <c r="U23" i="3"/>
  <c r="T23" i="3" a="1"/>
  <c r="T23" i="3"/>
  <c r="V23" i="3" s="1"/>
  <c r="W23" i="3" s="1"/>
  <c r="S23" i="3" a="1"/>
  <c r="S23" i="3"/>
  <c r="R23" i="3" a="1"/>
  <c r="R23" i="3"/>
  <c r="Q23" i="3" a="1"/>
  <c r="Q23" i="3"/>
  <c r="P23" i="3" a="1"/>
  <c r="P23" i="3"/>
  <c r="O23" i="3" a="1"/>
  <c r="O23" i="3"/>
  <c r="N23" i="3" a="1"/>
  <c r="N23" i="3"/>
  <c r="M23" i="3" a="1"/>
  <c r="M23" i="3"/>
  <c r="L23" i="3" a="1"/>
  <c r="L23" i="3"/>
  <c r="K23" i="3" a="1"/>
  <c r="K23" i="3"/>
  <c r="J23" i="3" a="1"/>
  <c r="J23" i="3"/>
  <c r="I23" i="3" a="1"/>
  <c r="I23" i="3"/>
  <c r="X23" i="3" s="1"/>
  <c r="H23" i="3" a="1"/>
  <c r="H23" i="3"/>
  <c r="G23" i="3" a="1"/>
  <c r="G23" i="3"/>
  <c r="F23" i="3" a="1"/>
  <c r="F23" i="3"/>
  <c r="E23" i="3" a="1"/>
  <c r="E23" i="3"/>
  <c r="C23" i="3" a="1"/>
  <c r="C23" i="3"/>
  <c r="B23" i="3" a="1"/>
  <c r="B23" i="3"/>
  <c r="AD22" i="3"/>
  <c r="U22" i="3" a="1"/>
  <c r="U22" i="3"/>
  <c r="T22" i="3" a="1"/>
  <c r="T22" i="3"/>
  <c r="V22" i="3" s="1"/>
  <c r="W22" i="3" s="1"/>
  <c r="S22" i="3" a="1"/>
  <c r="S22" i="3"/>
  <c r="R22" i="3" a="1"/>
  <c r="R22" i="3"/>
  <c r="Q22" i="3" a="1"/>
  <c r="Q22" i="3"/>
  <c r="P22" i="3" a="1"/>
  <c r="P22" i="3"/>
  <c r="O22" i="3" a="1"/>
  <c r="O22" i="3"/>
  <c r="N22" i="3" a="1"/>
  <c r="N22" i="3"/>
  <c r="M22" i="3" a="1"/>
  <c r="M22" i="3"/>
  <c r="Z22" i="3" s="1"/>
  <c r="L22" i="3" a="1"/>
  <c r="L22" i="3"/>
  <c r="K22" i="3" a="1"/>
  <c r="K22" i="3"/>
  <c r="J22" i="3" a="1"/>
  <c r="J22" i="3"/>
  <c r="I22" i="3" a="1"/>
  <c r="I22" i="3"/>
  <c r="X22" i="3" s="1"/>
  <c r="H22" i="3" a="1"/>
  <c r="H22" i="3"/>
  <c r="G22" i="3" a="1"/>
  <c r="G22" i="3"/>
  <c r="F22" i="3" a="1"/>
  <c r="F22" i="3"/>
  <c r="E22" i="3" a="1"/>
  <c r="E22" i="3"/>
  <c r="C22" i="3" a="1"/>
  <c r="C22" i="3"/>
  <c r="B22" i="3" a="1"/>
  <c r="B22" i="3"/>
  <c r="AD21" i="3"/>
  <c r="U21" i="3" a="1"/>
  <c r="U21" i="3"/>
  <c r="T21" i="3" a="1"/>
  <c r="T21" i="3"/>
  <c r="V21" i="3" s="1"/>
  <c r="W21" i="3" s="1"/>
  <c r="S21" i="3" a="1"/>
  <c r="S21" i="3"/>
  <c r="R21" i="3" a="1"/>
  <c r="R21" i="3"/>
  <c r="Q21" i="3" a="1"/>
  <c r="Q21" i="3"/>
  <c r="Y21" i="3" s="1"/>
  <c r="P21" i="3" a="1"/>
  <c r="P21" i="3"/>
  <c r="O21" i="3" a="1"/>
  <c r="O21" i="3"/>
  <c r="N21" i="3" a="1"/>
  <c r="N21" i="3"/>
  <c r="AA21" i="3" s="1"/>
  <c r="M21" i="3" a="1"/>
  <c r="M21" i="3"/>
  <c r="Z21" i="3" s="1"/>
  <c r="L21" i="3" a="1"/>
  <c r="L21" i="3"/>
  <c r="K21" i="3" a="1"/>
  <c r="K21" i="3"/>
  <c r="J21" i="3" a="1"/>
  <c r="J21" i="3"/>
  <c r="I21" i="3" a="1"/>
  <c r="I21" i="3"/>
  <c r="X21" i="3" s="1"/>
  <c r="H21" i="3" a="1"/>
  <c r="H21" i="3"/>
  <c r="G21" i="3" a="1"/>
  <c r="G21" i="3"/>
  <c r="F21" i="3" a="1"/>
  <c r="F21" i="3"/>
  <c r="E21" i="3" a="1"/>
  <c r="E21" i="3"/>
  <c r="C21" i="3" a="1"/>
  <c r="C21" i="3"/>
  <c r="B21" i="3" a="1"/>
  <c r="B21" i="3"/>
  <c r="AD20" i="3"/>
  <c r="U20" i="3" a="1"/>
  <c r="U20" i="3"/>
  <c r="T20" i="3" a="1"/>
  <c r="T20" i="3"/>
  <c r="V20" i="3" s="1"/>
  <c r="W20" i="3" s="1"/>
  <c r="S20" i="3" a="1"/>
  <c r="S20" i="3"/>
  <c r="R20" i="3" a="1"/>
  <c r="R20" i="3"/>
  <c r="Q20" i="3" a="1"/>
  <c r="Q20" i="3"/>
  <c r="Y20" i="3" s="1"/>
  <c r="P20" i="3" a="1"/>
  <c r="P20" i="3"/>
  <c r="O20" i="3" a="1"/>
  <c r="O20" i="3"/>
  <c r="N20" i="3" a="1"/>
  <c r="N20" i="3"/>
  <c r="AA20" i="3" s="1"/>
  <c r="M20" i="3" a="1"/>
  <c r="M20" i="3"/>
  <c r="Z20" i="3" s="1"/>
  <c r="L20" i="3" a="1"/>
  <c r="L20" i="3"/>
  <c r="K20" i="3" a="1"/>
  <c r="K20" i="3"/>
  <c r="J20" i="3" a="1"/>
  <c r="J20" i="3"/>
  <c r="I20" i="3" a="1"/>
  <c r="I20" i="3"/>
  <c r="X20" i="3" s="1"/>
  <c r="H20" i="3" a="1"/>
  <c r="H20" i="3"/>
  <c r="G20" i="3" a="1"/>
  <c r="G20" i="3"/>
  <c r="F20" i="3" a="1"/>
  <c r="F20" i="3"/>
  <c r="E20" i="3" a="1"/>
  <c r="E20" i="3"/>
  <c r="C20" i="3" a="1"/>
  <c r="C20" i="3"/>
  <c r="B20" i="3" a="1"/>
  <c r="B20" i="3"/>
  <c r="AD19" i="3"/>
  <c r="U19" i="3" a="1"/>
  <c r="U19" i="3"/>
  <c r="T19" i="3" a="1"/>
  <c r="T19" i="3"/>
  <c r="V19" i="3" s="1"/>
  <c r="W19" i="3" s="1"/>
  <c r="S19" i="3" a="1"/>
  <c r="S19" i="3"/>
  <c r="R19" i="3" a="1"/>
  <c r="R19" i="3"/>
  <c r="Q19" i="3" a="1"/>
  <c r="Q19" i="3"/>
  <c r="Y19" i="3" s="1"/>
  <c r="P19" i="3" a="1"/>
  <c r="P19" i="3"/>
  <c r="O19" i="3" a="1"/>
  <c r="O19" i="3"/>
  <c r="N19" i="3" a="1"/>
  <c r="N19" i="3"/>
  <c r="AA19" i="3" s="1"/>
  <c r="M19" i="3" a="1"/>
  <c r="M19" i="3"/>
  <c r="Z19" i="3" s="1"/>
  <c r="L19" i="3" a="1"/>
  <c r="L19" i="3"/>
  <c r="K19" i="3" a="1"/>
  <c r="K19" i="3"/>
  <c r="J19" i="3" a="1"/>
  <c r="J19" i="3"/>
  <c r="I19" i="3" a="1"/>
  <c r="I19" i="3"/>
  <c r="X19" i="3" s="1"/>
  <c r="H19" i="3" a="1"/>
  <c r="H19" i="3"/>
  <c r="G19" i="3" a="1"/>
  <c r="G19" i="3"/>
  <c r="F19" i="3" a="1"/>
  <c r="F19" i="3"/>
  <c r="E19" i="3" a="1"/>
  <c r="E19" i="3"/>
  <c r="C19" i="3" a="1"/>
  <c r="C19" i="3"/>
  <c r="B19" i="3" a="1"/>
  <c r="B19" i="3"/>
  <c r="AD18" i="3"/>
  <c r="U18" i="3" a="1"/>
  <c r="U18" i="3"/>
  <c r="T18" i="3" a="1"/>
  <c r="T18" i="3"/>
  <c r="V18" i="3" s="1"/>
  <c r="W18" i="3" s="1"/>
  <c r="S18" i="3" a="1"/>
  <c r="S18" i="3"/>
  <c r="R18" i="3" a="1"/>
  <c r="R18" i="3"/>
  <c r="Q18" i="3" a="1"/>
  <c r="Q18" i="3"/>
  <c r="Y18" i="3" s="1"/>
  <c r="P18" i="3" a="1"/>
  <c r="P18" i="3"/>
  <c r="O18" i="3" a="1"/>
  <c r="O18" i="3"/>
  <c r="N18" i="3" a="1"/>
  <c r="N18" i="3"/>
  <c r="AA18" i="3" s="1"/>
  <c r="M18" i="3" a="1"/>
  <c r="M18" i="3"/>
  <c r="Z18" i="3" s="1"/>
  <c r="L18" i="3" a="1"/>
  <c r="L18" i="3"/>
  <c r="K18" i="3" a="1"/>
  <c r="K18" i="3"/>
  <c r="J18" i="3" a="1"/>
  <c r="J18" i="3"/>
  <c r="I18" i="3" a="1"/>
  <c r="I18" i="3"/>
  <c r="X18" i="3" s="1"/>
  <c r="H18" i="3" a="1"/>
  <c r="H18" i="3"/>
  <c r="G18" i="3" a="1"/>
  <c r="G18" i="3"/>
  <c r="F18" i="3" a="1"/>
  <c r="F18" i="3"/>
  <c r="E18" i="3" a="1"/>
  <c r="E18" i="3"/>
  <c r="C18" i="3" a="1"/>
  <c r="C18" i="3"/>
  <c r="B18" i="3" a="1"/>
  <c r="B18" i="3"/>
  <c r="AD17" i="3"/>
  <c r="U17" i="3" a="1"/>
  <c r="U17" i="3"/>
  <c r="T17" i="3" a="1"/>
  <c r="T17" i="3"/>
  <c r="V17" i="3" s="1"/>
  <c r="W17" i="3" s="1"/>
  <c r="S17" i="3" a="1"/>
  <c r="S17" i="3"/>
  <c r="R17" i="3" a="1"/>
  <c r="R17" i="3"/>
  <c r="Q17" i="3" a="1"/>
  <c r="Q17" i="3"/>
  <c r="Y17" i="3" s="1"/>
  <c r="P17" i="3" a="1"/>
  <c r="P17" i="3"/>
  <c r="O17" i="3" a="1"/>
  <c r="O17" i="3"/>
  <c r="N17" i="3" a="1"/>
  <c r="N17" i="3"/>
  <c r="AA17" i="3" s="1"/>
  <c r="M17" i="3" a="1"/>
  <c r="M17" i="3"/>
  <c r="Z17" i="3" s="1"/>
  <c r="L17" i="3" a="1"/>
  <c r="L17" i="3"/>
  <c r="K17" i="3" a="1"/>
  <c r="K17" i="3"/>
  <c r="J17" i="3" a="1"/>
  <c r="J17" i="3"/>
  <c r="I17" i="3" a="1"/>
  <c r="I17" i="3"/>
  <c r="X17" i="3" s="1"/>
  <c r="H17" i="3" a="1"/>
  <c r="H17" i="3"/>
  <c r="G17" i="3" a="1"/>
  <c r="G17" i="3"/>
  <c r="F17" i="3" a="1"/>
  <c r="F17" i="3"/>
  <c r="E17" i="3" a="1"/>
  <c r="E17" i="3"/>
  <c r="C17" i="3" a="1"/>
  <c r="C17" i="3"/>
  <c r="B17" i="3" a="1"/>
  <c r="B17" i="3"/>
  <c r="AD16" i="3"/>
  <c r="U16" i="3" a="1"/>
  <c r="U16" i="3"/>
  <c r="T16" i="3" a="1"/>
  <c r="T16" i="3"/>
  <c r="V16" i="3" s="1"/>
  <c r="W16" i="3" s="1"/>
  <c r="S16" i="3" a="1"/>
  <c r="S16" i="3"/>
  <c r="R16" i="3" a="1"/>
  <c r="R16" i="3"/>
  <c r="Q16" i="3" a="1"/>
  <c r="Q16" i="3"/>
  <c r="Y16" i="3" s="1"/>
  <c r="P16" i="3" a="1"/>
  <c r="P16" i="3"/>
  <c r="O16" i="3" a="1"/>
  <c r="O16" i="3"/>
  <c r="N16" i="3" a="1"/>
  <c r="N16" i="3"/>
  <c r="AA16" i="3" s="1"/>
  <c r="M16" i="3" a="1"/>
  <c r="M16" i="3"/>
  <c r="Z16" i="3" s="1"/>
  <c r="L16" i="3" a="1"/>
  <c r="L16" i="3"/>
  <c r="K16" i="3" a="1"/>
  <c r="K16" i="3"/>
  <c r="J16" i="3" a="1"/>
  <c r="J16" i="3"/>
  <c r="I16" i="3" a="1"/>
  <c r="I16" i="3"/>
  <c r="X16" i="3" s="1"/>
  <c r="H16" i="3" a="1"/>
  <c r="H16" i="3"/>
  <c r="G16" i="3" a="1"/>
  <c r="G16" i="3"/>
  <c r="F16" i="3" a="1"/>
  <c r="F16" i="3"/>
  <c r="E16" i="3" a="1"/>
  <c r="E16" i="3"/>
  <c r="C16" i="3" a="1"/>
  <c r="C16" i="3"/>
  <c r="B16" i="3" a="1"/>
  <c r="B16" i="3"/>
  <c r="AD15" i="3"/>
  <c r="U15" i="3" a="1"/>
  <c r="U15" i="3"/>
  <c r="T15" i="3" a="1"/>
  <c r="T15" i="3"/>
  <c r="V15" i="3" s="1"/>
  <c r="W15" i="3" s="1"/>
  <c r="S15" i="3" a="1"/>
  <c r="S15" i="3"/>
  <c r="R15" i="3" a="1"/>
  <c r="R15" i="3"/>
  <c r="Q15" i="3" a="1"/>
  <c r="Q15" i="3"/>
  <c r="Y15" i="3" s="1"/>
  <c r="P15" i="3" a="1"/>
  <c r="P15" i="3"/>
  <c r="O15" i="3" a="1"/>
  <c r="O15" i="3"/>
  <c r="N15" i="3" a="1"/>
  <c r="N15" i="3"/>
  <c r="AA15" i="3" s="1"/>
  <c r="M15" i="3" a="1"/>
  <c r="M15" i="3"/>
  <c r="Z15" i="3" s="1"/>
  <c r="L15" i="3" a="1"/>
  <c r="L15" i="3"/>
  <c r="K15" i="3" a="1"/>
  <c r="K15" i="3"/>
  <c r="J15" i="3" a="1"/>
  <c r="J15" i="3"/>
  <c r="I15" i="3" a="1"/>
  <c r="I15" i="3"/>
  <c r="X15" i="3" s="1"/>
  <c r="H15" i="3" a="1"/>
  <c r="H15" i="3"/>
  <c r="G15" i="3" a="1"/>
  <c r="G15" i="3"/>
  <c r="F15" i="3" a="1"/>
  <c r="F15" i="3"/>
  <c r="E15" i="3" a="1"/>
  <c r="E15" i="3"/>
  <c r="C15" i="3" a="1"/>
  <c r="C15" i="3"/>
  <c r="B15" i="3" a="1"/>
  <c r="B15" i="3"/>
  <c r="AD14" i="3"/>
  <c r="U14" i="3" a="1"/>
  <c r="U14" i="3"/>
  <c r="T14" i="3" a="1"/>
  <c r="T14" i="3"/>
  <c r="V14" i="3" s="1"/>
  <c r="W14" i="3" s="1"/>
  <c r="S14" i="3" a="1"/>
  <c r="S14" i="3"/>
  <c r="R14" i="3" a="1"/>
  <c r="R14" i="3"/>
  <c r="Q14" i="3" a="1"/>
  <c r="Q14" i="3"/>
  <c r="Y14" i="3" s="1"/>
  <c r="P14" i="3" a="1"/>
  <c r="P14" i="3"/>
  <c r="O14" i="3" a="1"/>
  <c r="O14" i="3"/>
  <c r="N14" i="3" a="1"/>
  <c r="N14" i="3"/>
  <c r="AA14" i="3" s="1"/>
  <c r="M14" i="3" a="1"/>
  <c r="M14" i="3"/>
  <c r="Z14" i="3" s="1"/>
  <c r="L14" i="3" a="1"/>
  <c r="L14" i="3"/>
  <c r="K14" i="3" a="1"/>
  <c r="K14" i="3"/>
  <c r="J14" i="3" a="1"/>
  <c r="J14" i="3"/>
  <c r="I14" i="3" a="1"/>
  <c r="I14" i="3"/>
  <c r="X14" i="3" s="1"/>
  <c r="H14" i="3" a="1"/>
  <c r="H14" i="3"/>
  <c r="G14" i="3" a="1"/>
  <c r="G14" i="3"/>
  <c r="F14" i="3" a="1"/>
  <c r="F14" i="3"/>
  <c r="E14" i="3" a="1"/>
  <c r="E14" i="3"/>
  <c r="C14" i="3" a="1"/>
  <c r="C14" i="3"/>
  <c r="B14" i="3" a="1"/>
  <c r="B14" i="3"/>
  <c r="AD13" i="3"/>
  <c r="U13" i="3" a="1"/>
  <c r="U13" i="3"/>
  <c r="T13" i="3" a="1"/>
  <c r="T13" i="3"/>
  <c r="V13" i="3" s="1"/>
  <c r="W13" i="3" s="1"/>
  <c r="S13" i="3" a="1"/>
  <c r="S13" i="3"/>
  <c r="R13" i="3" a="1"/>
  <c r="R13" i="3"/>
  <c r="Q13" i="3" a="1"/>
  <c r="Q13" i="3"/>
  <c r="Y13" i="3" s="1"/>
  <c r="P13" i="3" a="1"/>
  <c r="P13" i="3"/>
  <c r="O13" i="3" a="1"/>
  <c r="O13" i="3"/>
  <c r="N13" i="3" a="1"/>
  <c r="N13" i="3"/>
  <c r="AA13" i="3" s="1"/>
  <c r="M13" i="3" a="1"/>
  <c r="M13" i="3"/>
  <c r="Z13" i="3" s="1"/>
  <c r="L13" i="3" a="1"/>
  <c r="L13" i="3"/>
  <c r="K13" i="3" a="1"/>
  <c r="K13" i="3"/>
  <c r="J13" i="3" a="1"/>
  <c r="J13" i="3"/>
  <c r="I13" i="3" a="1"/>
  <c r="I13" i="3"/>
  <c r="X13" i="3" s="1"/>
  <c r="H13" i="3" a="1"/>
  <c r="H13" i="3"/>
  <c r="G13" i="3" a="1"/>
  <c r="G13" i="3"/>
  <c r="F13" i="3" a="1"/>
  <c r="F13" i="3"/>
  <c r="E13" i="3" a="1"/>
  <c r="E13" i="3"/>
  <c r="C13" i="3" a="1"/>
  <c r="C13" i="3"/>
  <c r="B13" i="3" a="1"/>
  <c r="B13" i="3"/>
  <c r="AD12" i="3"/>
  <c r="U12" i="3" a="1"/>
  <c r="U12" i="3"/>
  <c r="T12" i="3" a="1"/>
  <c r="T12" i="3"/>
  <c r="V12" i="3" s="1"/>
  <c r="W12" i="3" s="1"/>
  <c r="S12" i="3" a="1"/>
  <c r="S12" i="3"/>
  <c r="R12" i="3" a="1"/>
  <c r="R12" i="3"/>
  <c r="Q12" i="3" a="1"/>
  <c r="Q12" i="3"/>
  <c r="Y12" i="3" s="1"/>
  <c r="P12" i="3" a="1"/>
  <c r="P12" i="3"/>
  <c r="O12" i="3" a="1"/>
  <c r="O12" i="3"/>
  <c r="N12" i="3" a="1"/>
  <c r="N12" i="3"/>
  <c r="AA12" i="3" s="1"/>
  <c r="M12" i="3" a="1"/>
  <c r="M12" i="3"/>
  <c r="Z12" i="3" s="1"/>
  <c r="L12" i="3" a="1"/>
  <c r="L12" i="3"/>
  <c r="K12" i="3" a="1"/>
  <c r="K12" i="3"/>
  <c r="J12" i="3" a="1"/>
  <c r="J12" i="3"/>
  <c r="I12" i="3" a="1"/>
  <c r="I12" i="3"/>
  <c r="X12" i="3" s="1"/>
  <c r="H12" i="3" a="1"/>
  <c r="H12" i="3"/>
  <c r="G12" i="3" a="1"/>
  <c r="G12" i="3"/>
  <c r="F12" i="3" a="1"/>
  <c r="F12" i="3"/>
  <c r="E12" i="3" a="1"/>
  <c r="E12" i="3"/>
  <c r="C12" i="3" a="1"/>
  <c r="C12" i="3"/>
  <c r="B12" i="3" a="1"/>
  <c r="B12" i="3"/>
  <c r="AD11" i="3"/>
  <c r="U11" i="3" a="1"/>
  <c r="U11" i="3"/>
  <c r="T11" i="3" a="1"/>
  <c r="T11" i="3"/>
  <c r="V11" i="3" s="1"/>
  <c r="W11" i="3" s="1"/>
  <c r="S11" i="3" a="1"/>
  <c r="S11" i="3"/>
  <c r="R11" i="3" a="1"/>
  <c r="R11" i="3"/>
  <c r="Q11" i="3" a="1"/>
  <c r="Q11" i="3"/>
  <c r="Y11" i="3" s="1"/>
  <c r="P11" i="3" a="1"/>
  <c r="P11" i="3"/>
  <c r="O11" i="3" a="1"/>
  <c r="O11" i="3"/>
  <c r="N11" i="3" a="1"/>
  <c r="N11" i="3"/>
  <c r="AA11" i="3" s="1"/>
  <c r="M11" i="3" a="1"/>
  <c r="M11" i="3"/>
  <c r="Z11" i="3" s="1"/>
  <c r="L11" i="3" a="1"/>
  <c r="L11" i="3"/>
  <c r="K11" i="3" a="1"/>
  <c r="K11" i="3"/>
  <c r="J11" i="3" a="1"/>
  <c r="J11" i="3"/>
  <c r="I11" i="3" a="1"/>
  <c r="I11" i="3"/>
  <c r="X11" i="3" s="1"/>
  <c r="H11" i="3" a="1"/>
  <c r="H11" i="3"/>
  <c r="G11" i="3" a="1"/>
  <c r="G11" i="3"/>
  <c r="F11" i="3" a="1"/>
  <c r="F11" i="3"/>
  <c r="E11" i="3" a="1"/>
  <c r="E11" i="3"/>
  <c r="C11" i="3" a="1"/>
  <c r="C11" i="3"/>
  <c r="B11" i="3" a="1"/>
  <c r="B11" i="3"/>
  <c r="AD10" i="3"/>
  <c r="U10" i="3" a="1"/>
  <c r="U10" i="3"/>
  <c r="T10" i="3" a="1"/>
  <c r="T10" i="3"/>
  <c r="V10" i="3" s="1"/>
  <c r="W10" i="3" s="1"/>
  <c r="S10" i="3" a="1"/>
  <c r="S10" i="3"/>
  <c r="R10" i="3" a="1"/>
  <c r="R10" i="3"/>
  <c r="Q10" i="3" a="1"/>
  <c r="Q10" i="3"/>
  <c r="Y10" i="3" s="1"/>
  <c r="P10" i="3" a="1"/>
  <c r="P10" i="3"/>
  <c r="O10" i="3" a="1"/>
  <c r="O10" i="3"/>
  <c r="N10" i="3" a="1"/>
  <c r="N10" i="3"/>
  <c r="AA10" i="3" s="1"/>
  <c r="M10" i="3" a="1"/>
  <c r="M10" i="3"/>
  <c r="Z10" i="3" s="1"/>
  <c r="L10" i="3" a="1"/>
  <c r="L10" i="3"/>
  <c r="K10" i="3" a="1"/>
  <c r="K10" i="3"/>
  <c r="J10" i="3" a="1"/>
  <c r="J10" i="3"/>
  <c r="I10" i="3" a="1"/>
  <c r="I10" i="3"/>
  <c r="X10" i="3" s="1"/>
  <c r="H10" i="3" a="1"/>
  <c r="H10" i="3"/>
  <c r="G10" i="3" a="1"/>
  <c r="G10" i="3"/>
  <c r="F10" i="3" a="1"/>
  <c r="F10" i="3"/>
  <c r="E10" i="3" a="1"/>
  <c r="E10" i="3"/>
  <c r="C10" i="3" a="1"/>
  <c r="C10" i="3"/>
  <c r="B10" i="3" a="1"/>
  <c r="B10" i="3"/>
  <c r="AD9" i="3"/>
  <c r="U9" i="3" a="1"/>
  <c r="U9" i="3"/>
  <c r="T9" i="3" a="1"/>
  <c r="T9" i="3"/>
  <c r="V9" i="3" s="1"/>
  <c r="W9" i="3" s="1"/>
  <c r="S9" i="3" a="1"/>
  <c r="S9" i="3"/>
  <c r="R9" i="3" a="1"/>
  <c r="R9" i="3"/>
  <c r="Q9" i="3" a="1"/>
  <c r="Q9" i="3"/>
  <c r="Y9" i="3" s="1"/>
  <c r="P9" i="3" a="1"/>
  <c r="P9" i="3"/>
  <c r="O9" i="3" a="1"/>
  <c r="O9" i="3"/>
  <c r="N9" i="3" a="1"/>
  <c r="N9" i="3"/>
  <c r="AA9" i="3" s="1"/>
  <c r="M9" i="3" a="1"/>
  <c r="M9" i="3"/>
  <c r="Z9" i="3" s="1"/>
  <c r="L9" i="3" a="1"/>
  <c r="L9" i="3"/>
  <c r="K9" i="3" a="1"/>
  <c r="K9" i="3"/>
  <c r="J9" i="3" a="1"/>
  <c r="J9" i="3"/>
  <c r="I9" i="3" a="1"/>
  <c r="I9" i="3"/>
  <c r="X9" i="3" s="1"/>
  <c r="H9" i="3" a="1"/>
  <c r="H9" i="3"/>
  <c r="G9" i="3" a="1"/>
  <c r="G9" i="3"/>
  <c r="F9" i="3" a="1"/>
  <c r="F9" i="3"/>
  <c r="E9" i="3" a="1"/>
  <c r="E9" i="3"/>
  <c r="C9" i="3" a="1"/>
  <c r="C9" i="3"/>
  <c r="B9" i="3" a="1"/>
  <c r="B9" i="3"/>
  <c r="AD8" i="3"/>
  <c r="U8" i="3" a="1"/>
  <c r="U8" i="3"/>
  <c r="T8" i="3" a="1"/>
  <c r="T8" i="3"/>
  <c r="V8" i="3" s="1"/>
  <c r="W8" i="3" s="1"/>
  <c r="S8" i="3" a="1"/>
  <c r="S8" i="3"/>
  <c r="R8" i="3" a="1"/>
  <c r="R8" i="3"/>
  <c r="Q8" i="3" a="1"/>
  <c r="Q8" i="3"/>
  <c r="Y8" i="3" s="1"/>
  <c r="P8" i="3" a="1"/>
  <c r="P8" i="3"/>
  <c r="O8" i="3" a="1"/>
  <c r="O8" i="3"/>
  <c r="N8" i="3" a="1"/>
  <c r="N8" i="3"/>
  <c r="AA8" i="3" s="1"/>
  <c r="M8" i="3" a="1"/>
  <c r="M8" i="3"/>
  <c r="Z8" i="3" s="1"/>
  <c r="L8" i="3" a="1"/>
  <c r="L8" i="3"/>
  <c r="K8" i="3" a="1"/>
  <c r="K8" i="3"/>
  <c r="J8" i="3" a="1"/>
  <c r="J8" i="3"/>
  <c r="I8" i="3" a="1"/>
  <c r="I8" i="3"/>
  <c r="X8" i="3" s="1"/>
  <c r="H8" i="3" a="1"/>
  <c r="H8" i="3"/>
  <c r="G8" i="3" a="1"/>
  <c r="G8" i="3"/>
  <c r="F8" i="3" a="1"/>
  <c r="F8" i="3"/>
  <c r="E8" i="3" a="1"/>
  <c r="E8" i="3"/>
  <c r="C8" i="3" a="1"/>
  <c r="C8" i="3"/>
  <c r="B8" i="3" a="1"/>
  <c r="B8" i="3"/>
  <c r="AD7" i="3"/>
  <c r="U7" i="3" a="1"/>
  <c r="U7" i="3"/>
  <c r="T7" i="3" a="1"/>
  <c r="T7" i="3"/>
  <c r="V7" i="3" s="1"/>
  <c r="W7" i="3" s="1"/>
  <c r="S7" i="3" a="1"/>
  <c r="S7" i="3"/>
  <c r="R7" i="3" a="1"/>
  <c r="R7" i="3"/>
  <c r="Q7" i="3" a="1"/>
  <c r="Q7" i="3"/>
  <c r="Y7" i="3" s="1"/>
  <c r="P7" i="3" a="1"/>
  <c r="P7" i="3"/>
  <c r="O7" i="3" a="1"/>
  <c r="O7" i="3"/>
  <c r="N7" i="3" a="1"/>
  <c r="N7" i="3"/>
  <c r="AA7" i="3" s="1"/>
  <c r="M7" i="3" a="1"/>
  <c r="M7" i="3"/>
  <c r="Z7" i="3" s="1"/>
  <c r="L7" i="3" a="1"/>
  <c r="L7" i="3"/>
  <c r="K7" i="3" a="1"/>
  <c r="K7" i="3"/>
  <c r="J7" i="3" a="1"/>
  <c r="J7" i="3"/>
  <c r="I7" i="3" a="1"/>
  <c r="I7" i="3"/>
  <c r="X7" i="3" s="1"/>
  <c r="H7" i="3" a="1"/>
  <c r="H7" i="3"/>
  <c r="G7" i="3" a="1"/>
  <c r="G7" i="3"/>
  <c r="F7" i="3" a="1"/>
  <c r="F7" i="3"/>
  <c r="E7" i="3" a="1"/>
  <c r="E7" i="3"/>
  <c r="C7" i="3" a="1"/>
  <c r="C7" i="3"/>
  <c r="B7" i="3" a="1"/>
  <c r="B7" i="3"/>
  <c r="AD6" i="3"/>
  <c r="U6" i="3" a="1"/>
  <c r="U6" i="3"/>
  <c r="T6" i="3" a="1"/>
  <c r="T6" i="3"/>
  <c r="V6" i="3" s="1"/>
  <c r="W6" i="3" s="1"/>
  <c r="S6" i="3" a="1"/>
  <c r="S6" i="3"/>
  <c r="R6" i="3" a="1"/>
  <c r="R6" i="3"/>
  <c r="Q6" i="3" a="1"/>
  <c r="Q6" i="3"/>
  <c r="Y6" i="3" s="1"/>
  <c r="P6" i="3" a="1"/>
  <c r="P6" i="3"/>
  <c r="O6" i="3" a="1"/>
  <c r="O6" i="3"/>
  <c r="N6" i="3" a="1"/>
  <c r="N6" i="3"/>
  <c r="AA6" i="3" s="1"/>
  <c r="M6" i="3" a="1"/>
  <c r="M6" i="3"/>
  <c r="Z6" i="3" s="1"/>
  <c r="L6" i="3" a="1"/>
  <c r="L6" i="3"/>
  <c r="K6" i="3" a="1"/>
  <c r="K6" i="3"/>
  <c r="J6" i="3" a="1"/>
  <c r="J6" i="3"/>
  <c r="I6" i="3" a="1"/>
  <c r="I6" i="3"/>
  <c r="X6" i="3" s="1"/>
  <c r="H6" i="3" a="1"/>
  <c r="H6" i="3"/>
  <c r="G6" i="3" a="1"/>
  <c r="G6" i="3"/>
  <c r="F6" i="3" a="1"/>
  <c r="F6" i="3"/>
  <c r="E6" i="3" a="1"/>
  <c r="E6" i="3"/>
  <c r="C6" i="3" a="1"/>
  <c r="C6" i="3"/>
  <c r="B6" i="3" a="1"/>
  <c r="B6" i="3"/>
  <c r="AD5" i="3"/>
  <c r="U5" i="3" a="1"/>
  <c r="U5" i="3"/>
  <c r="T5" i="3" a="1"/>
  <c r="T5" i="3"/>
  <c r="V5" i="3" s="1"/>
  <c r="W5" i="3" s="1"/>
  <c r="S5" i="3" a="1"/>
  <c r="S5" i="3"/>
  <c r="R5" i="3" a="1"/>
  <c r="R5" i="3"/>
  <c r="Q5" i="3" a="1"/>
  <c r="Q5" i="3"/>
  <c r="Y5" i="3" s="1"/>
  <c r="P5" i="3" a="1"/>
  <c r="P5" i="3"/>
  <c r="O5" i="3" a="1"/>
  <c r="O5" i="3"/>
  <c r="N5" i="3" a="1"/>
  <c r="N5" i="3"/>
  <c r="AA5" i="3" s="1"/>
  <c r="M5" i="3" a="1"/>
  <c r="M5" i="3"/>
  <c r="Z5" i="3" s="1"/>
  <c r="L5" i="3" a="1"/>
  <c r="L5" i="3"/>
  <c r="K5" i="3" a="1"/>
  <c r="K5" i="3"/>
  <c r="J5" i="3" a="1"/>
  <c r="J5" i="3"/>
  <c r="I5" i="3" a="1"/>
  <c r="I5" i="3"/>
  <c r="X5" i="3" s="1"/>
  <c r="H5" i="3" a="1"/>
  <c r="H5" i="3"/>
  <c r="G5" i="3" a="1"/>
  <c r="G5" i="3"/>
  <c r="F5" i="3" a="1"/>
  <c r="F5" i="3"/>
  <c r="E5" i="3" a="1"/>
  <c r="E5" i="3"/>
  <c r="C5" i="3" a="1"/>
  <c r="C5" i="3"/>
  <c r="B5" i="3" a="1"/>
  <c r="B5" i="3"/>
  <c r="AD4" i="3"/>
  <c r="U4" i="3" a="1"/>
  <c r="U4" i="3"/>
  <c r="T4" i="3" a="1"/>
  <c r="T4" i="3"/>
  <c r="V4" i="3" s="1"/>
  <c r="W4" i="3" s="1"/>
  <c r="S4" i="3" a="1"/>
  <c r="S4" i="3"/>
  <c r="R4" i="3" a="1"/>
  <c r="R4" i="3"/>
  <c r="Q4" i="3" a="1"/>
  <c r="Q4" i="3"/>
  <c r="Y4" i="3" s="1"/>
  <c r="P4" i="3" a="1"/>
  <c r="P4" i="3"/>
  <c r="O4" i="3" a="1"/>
  <c r="O4" i="3"/>
  <c r="N4" i="3" a="1"/>
  <c r="N4" i="3"/>
  <c r="AA4" i="3" s="1"/>
  <c r="M4" i="3" a="1"/>
  <c r="M4" i="3"/>
  <c r="Z4" i="3" s="1"/>
  <c r="L4" i="3" a="1"/>
  <c r="L4" i="3"/>
  <c r="K4" i="3" a="1"/>
  <c r="K4" i="3"/>
  <c r="J4" i="3" a="1"/>
  <c r="J4" i="3"/>
  <c r="I4" i="3" a="1"/>
  <c r="I4" i="3"/>
  <c r="X4" i="3" s="1"/>
  <c r="H4" i="3" a="1"/>
  <c r="H4" i="3"/>
  <c r="G4" i="3" a="1"/>
  <c r="G4" i="3"/>
  <c r="F4" i="3" a="1"/>
  <c r="F4" i="3"/>
  <c r="E4" i="3" a="1"/>
  <c r="E4" i="3"/>
  <c r="C4" i="3" a="1"/>
  <c r="C4" i="3"/>
  <c r="B4" i="3" a="1"/>
  <c r="B4" i="3"/>
  <c r="AD3" i="3"/>
  <c r="U3" i="3" a="1"/>
  <c r="U3" i="3"/>
  <c r="T3" i="3" a="1"/>
  <c r="T3" i="3"/>
  <c r="V3" i="3" s="1"/>
  <c r="W3" i="3" s="1"/>
  <c r="S3" i="3" a="1"/>
  <c r="S3" i="3"/>
  <c r="R3" i="3" a="1"/>
  <c r="R3" i="3"/>
  <c r="Q3" i="3" a="1"/>
  <c r="Q3" i="3"/>
  <c r="Y3" i="3" s="1"/>
  <c r="P3" i="3" a="1"/>
  <c r="P3" i="3"/>
  <c r="O3" i="3" a="1"/>
  <c r="O3" i="3"/>
  <c r="N3" i="3" a="1"/>
  <c r="N3" i="3"/>
  <c r="AA3" i="3" s="1"/>
  <c r="M3" i="3" a="1"/>
  <c r="M3" i="3"/>
  <c r="Z3" i="3" s="1"/>
  <c r="L3" i="3" a="1"/>
  <c r="L3" i="3"/>
  <c r="K3" i="3" a="1"/>
  <c r="K3" i="3"/>
  <c r="J3" i="3" a="1"/>
  <c r="J3" i="3"/>
  <c r="I3" i="3" a="1"/>
  <c r="I3" i="3"/>
  <c r="X3" i="3" s="1"/>
  <c r="H3" i="3" a="1"/>
  <c r="H3" i="3"/>
  <c r="G3" i="3" a="1"/>
  <c r="G3" i="3"/>
  <c r="F3" i="3" a="1"/>
  <c r="F3" i="3"/>
  <c r="E3" i="3" a="1"/>
  <c r="E3" i="3"/>
  <c r="C3" i="3" a="1"/>
  <c r="C3" i="3"/>
  <c r="B3" i="3" a="1"/>
  <c r="B3" i="3"/>
  <c r="AD2" i="3"/>
  <c r="U2" i="3" a="1"/>
  <c r="U2" i="3"/>
  <c r="T2" i="3" a="1"/>
  <c r="T2" i="3"/>
  <c r="V2" i="3" s="1"/>
  <c r="W2" i="3" s="1"/>
  <c r="S2" i="3" a="1"/>
  <c r="S2" i="3"/>
  <c r="R2" i="3" a="1"/>
  <c r="R2" i="3"/>
  <c r="Q2" i="3" a="1"/>
  <c r="Q2" i="3"/>
  <c r="Y2" i="3" s="1"/>
  <c r="P2" i="3" a="1"/>
  <c r="P2" i="3"/>
  <c r="O2" i="3" a="1"/>
  <c r="O2" i="3"/>
  <c r="N2" i="3" a="1"/>
  <c r="N2" i="3"/>
  <c r="AA2" i="3" s="1"/>
  <c r="M2" i="3" a="1"/>
  <c r="M2" i="3"/>
  <c r="Z2" i="3" s="1"/>
  <c r="L2" i="3" a="1"/>
  <c r="L2" i="3"/>
  <c r="K2" i="3" a="1"/>
  <c r="K2" i="3"/>
  <c r="J2" i="3" a="1"/>
  <c r="J2" i="3"/>
  <c r="I2" i="3" a="1"/>
  <c r="I2" i="3"/>
  <c r="X2" i="3" s="1"/>
  <c r="H2" i="3" a="1"/>
  <c r="H2" i="3"/>
  <c r="G2" i="3" a="1"/>
  <c r="G2" i="3"/>
  <c r="F2" i="3" a="1"/>
  <c r="F2" i="3"/>
  <c r="E2" i="3" a="1"/>
  <c r="E2" i="3"/>
  <c r="C2" i="3" a="1"/>
  <c r="C2" i="3"/>
  <c r="B2" i="3" a="1"/>
  <c r="B2" i="3"/>
  <c r="AB2" i="3" s="1"/>
  <c r="AH64" i="4" l="1" a="1"/>
  <c r="AH64" i="4" s="1"/>
  <c r="AG64" i="4" a="1"/>
  <c r="AG64" i="4" s="1"/>
  <c r="AF64" i="4" a="1"/>
  <c r="AF64" i="4" s="1"/>
  <c r="AE64" i="4" a="1"/>
  <c r="AE64" i="4" s="1"/>
  <c r="AD64" i="4" a="1"/>
  <c r="AD64" i="4" s="1"/>
  <c r="AC64" i="4" a="1"/>
  <c r="AC64" i="4" s="1"/>
  <c r="AB64" i="4" a="1"/>
  <c r="AB64" i="4" s="1"/>
  <c r="AA64" i="4" a="1"/>
  <c r="AA64" i="4" s="1"/>
  <c r="Z64" i="4" a="1"/>
  <c r="Z64" i="4" s="1"/>
  <c r="Y64" i="4" a="1"/>
  <c r="Y64" i="4" s="1"/>
  <c r="X64" i="4" a="1"/>
  <c r="X64" i="4" s="1"/>
  <c r="W64" i="4" a="1"/>
  <c r="W64" i="4" s="1"/>
  <c r="V64" i="4" a="1"/>
  <c r="V64" i="4" s="1"/>
  <c r="U64" i="4" a="1"/>
  <c r="U64" i="4" s="1"/>
  <c r="AH63" i="4" a="1"/>
  <c r="AH63" i="4" s="1"/>
  <c r="AF63" i="4" a="1"/>
  <c r="AF63" i="4" s="1"/>
  <c r="AE63" i="4" a="1"/>
  <c r="AE63" i="4" s="1"/>
  <c r="AD63" i="4" a="1"/>
  <c r="AD63" i="4" s="1"/>
  <c r="AC63" i="4" a="1"/>
  <c r="AC63" i="4" s="1"/>
  <c r="AB63" i="4" a="1"/>
  <c r="AB63" i="4" s="1"/>
  <c r="AA63" i="4" a="1"/>
  <c r="AA63" i="4" s="1"/>
  <c r="Z63" i="4" a="1"/>
  <c r="Z63" i="4" s="1"/>
  <c r="Y63" i="4" a="1"/>
  <c r="Y63" i="4" s="1"/>
  <c r="X63" i="4" a="1"/>
  <c r="X63" i="4" s="1"/>
  <c r="W63" i="4" a="1"/>
  <c r="W63" i="4" s="1"/>
  <c r="V63" i="4" a="1"/>
  <c r="V63" i="4" s="1"/>
  <c r="U63" i="4" a="1"/>
  <c r="U63" i="4" s="1"/>
  <c r="AG63" i="4" a="1"/>
  <c r="AG63" i="4" s="1"/>
  <c r="AH62" i="4" a="1"/>
  <c r="AH62" i="4" s="1"/>
  <c r="AF62" i="4" a="1"/>
  <c r="AF62" i="4" s="1"/>
  <c r="AE62" i="4" a="1"/>
  <c r="AE62" i="4" s="1"/>
  <c r="AD62" i="4" a="1"/>
  <c r="AD62" i="4" s="1"/>
  <c r="AC62" i="4" a="1"/>
  <c r="AC62" i="4" s="1"/>
  <c r="AB62" i="4" a="1"/>
  <c r="AB62" i="4" s="1"/>
  <c r="AA62" i="4" a="1"/>
  <c r="AA62" i="4" s="1"/>
  <c r="Z62" i="4" a="1"/>
  <c r="Z62" i="4" s="1"/>
  <c r="Y62" i="4" a="1"/>
  <c r="Y62" i="4" s="1"/>
  <c r="X62" i="4" a="1"/>
  <c r="X62" i="4" s="1"/>
  <c r="W62" i="4" a="1"/>
  <c r="W62" i="4" s="1"/>
  <c r="V62" i="4" a="1"/>
  <c r="V62" i="4" s="1"/>
  <c r="U62" i="4" a="1"/>
  <c r="U62" i="4" s="1"/>
  <c r="AG62" i="4" a="1"/>
  <c r="AG62" i="4" s="1"/>
  <c r="Z61" i="4" a="1"/>
  <c r="Z61" i="4" s="1"/>
  <c r="AF61" i="4" a="1"/>
  <c r="AF61" i="4" s="1"/>
  <c r="AE61" i="4" a="1"/>
  <c r="AE61" i="4" s="1"/>
  <c r="AD61" i="4" a="1"/>
  <c r="AD61" i="4" s="1"/>
  <c r="AC61" i="4" a="1"/>
  <c r="AC61" i="4" s="1"/>
  <c r="AB61" i="4" a="1"/>
  <c r="AB61" i="4" s="1"/>
  <c r="AA61" i="4" a="1"/>
  <c r="AA61" i="4" s="1"/>
  <c r="AH61" i="4" a="1"/>
  <c r="AH61" i="4" s="1"/>
  <c r="Y61" i="4" a="1"/>
  <c r="Y61" i="4" s="1"/>
  <c r="X61" i="4" a="1"/>
  <c r="X61" i="4" s="1"/>
  <c r="W61" i="4" a="1"/>
  <c r="W61" i="4" s="1"/>
  <c r="V61" i="4" a="1"/>
  <c r="V61" i="4" s="1"/>
  <c r="U61" i="4" a="1"/>
  <c r="U61" i="4" s="1"/>
  <c r="AG61" i="4" a="1"/>
  <c r="AG61" i="4" s="1"/>
  <c r="AH60" i="4" a="1"/>
  <c r="AH60" i="4" s="1"/>
  <c r="AF60" i="4" a="1"/>
  <c r="AF60" i="4" s="1"/>
  <c r="AE60" i="4" a="1"/>
  <c r="AE60" i="4" s="1"/>
  <c r="AD60" i="4" a="1"/>
  <c r="AD60" i="4" s="1"/>
  <c r="AC60" i="4" a="1"/>
  <c r="AC60" i="4" s="1"/>
  <c r="AB60" i="4" a="1"/>
  <c r="AB60" i="4" s="1"/>
  <c r="AA60" i="4" a="1"/>
  <c r="AA60" i="4" s="1"/>
  <c r="Z60" i="4" a="1"/>
  <c r="Z60" i="4" s="1"/>
  <c r="Y60" i="4" a="1"/>
  <c r="Y60" i="4" s="1"/>
  <c r="X60" i="4" a="1"/>
  <c r="X60" i="4" s="1"/>
  <c r="W60" i="4" a="1"/>
  <c r="W60" i="4" s="1"/>
  <c r="V60" i="4" a="1"/>
  <c r="V60" i="4" s="1"/>
  <c r="U60" i="4" a="1"/>
  <c r="U60" i="4" s="1"/>
  <c r="AG60" i="4" a="1"/>
  <c r="AG60" i="4" s="1"/>
  <c r="U59" i="4" a="1"/>
  <c r="U59" i="4" s="1"/>
  <c r="AH59" i="4" a="1"/>
  <c r="AH59" i="4" s="1"/>
  <c r="V59" i="4" a="1"/>
  <c r="V59" i="4" s="1"/>
  <c r="W59" i="4" a="1"/>
  <c r="W59" i="4" s="1"/>
  <c r="X59" i="4" a="1"/>
  <c r="X59" i="4" s="1"/>
  <c r="Y59" i="4" a="1"/>
  <c r="Y59" i="4" s="1"/>
  <c r="Z59" i="4" a="1"/>
  <c r="Z59" i="4" s="1"/>
  <c r="AB59" i="4" a="1"/>
  <c r="AB59" i="4" s="1"/>
  <c r="AC59" i="4" a="1"/>
  <c r="AC59" i="4" s="1"/>
  <c r="AD59" i="4" a="1"/>
  <c r="AD59" i="4" s="1"/>
  <c r="AE59" i="4" a="1"/>
  <c r="AE59" i="4" s="1"/>
  <c r="AF59" i="4" a="1"/>
  <c r="AF59" i="4" s="1"/>
  <c r="AG59" i="4" a="1"/>
  <c r="AG59" i="4" s="1"/>
  <c r="AA59" i="4" a="1"/>
  <c r="AA59" i="4" s="1"/>
  <c r="AH58" i="4" a="1"/>
  <c r="AH58" i="4" s="1"/>
  <c r="AF58" i="4" a="1"/>
  <c r="AF58" i="4" s="1"/>
  <c r="AE58" i="4" a="1"/>
  <c r="AE58" i="4" s="1"/>
  <c r="AD58" i="4" a="1"/>
  <c r="AD58" i="4" s="1"/>
  <c r="AC58" i="4" a="1"/>
  <c r="AC58" i="4" s="1"/>
  <c r="AB58" i="4" a="1"/>
  <c r="AB58" i="4" s="1"/>
  <c r="AA58" i="4" a="1"/>
  <c r="AA58" i="4" s="1"/>
  <c r="Z58" i="4" a="1"/>
  <c r="Z58" i="4" s="1"/>
  <c r="Y58" i="4" a="1"/>
  <c r="Y58" i="4" s="1"/>
  <c r="X58" i="4" a="1"/>
  <c r="X58" i="4" s="1"/>
  <c r="W58" i="4" a="1"/>
  <c r="W58" i="4" s="1"/>
  <c r="V58" i="4" a="1"/>
  <c r="V58" i="4" s="1"/>
  <c r="U58" i="4" a="1"/>
  <c r="U58" i="4" s="1"/>
  <c r="AG58" i="4" a="1"/>
  <c r="AG58" i="4" s="1"/>
  <c r="Z57" i="4" a="1"/>
  <c r="Z57" i="4" s="1"/>
  <c r="AF57" i="4" a="1"/>
  <c r="AF57" i="4" s="1"/>
  <c r="AE57" i="4" a="1"/>
  <c r="AE57" i="4" s="1"/>
  <c r="AD57" i="4" a="1"/>
  <c r="AD57" i="4" s="1"/>
  <c r="AC57" i="4" a="1"/>
  <c r="AC57" i="4" s="1"/>
  <c r="AB57" i="4" a="1"/>
  <c r="AB57" i="4" s="1"/>
  <c r="AA57" i="4" a="1"/>
  <c r="AA57" i="4" s="1"/>
  <c r="AH57" i="4" a="1"/>
  <c r="AH57" i="4" s="1"/>
  <c r="Y57" i="4" a="1"/>
  <c r="Y57" i="4" s="1"/>
  <c r="X57" i="4" a="1"/>
  <c r="X57" i="4" s="1"/>
  <c r="W57" i="4" a="1"/>
  <c r="W57" i="4" s="1"/>
  <c r="V57" i="4" a="1"/>
  <c r="V57" i="4" s="1"/>
  <c r="U57" i="4" a="1"/>
  <c r="U57" i="4" s="1"/>
  <c r="AG57" i="4" a="1"/>
  <c r="AG57" i="4" s="1"/>
  <c r="AH56" i="4" a="1"/>
  <c r="AH56" i="4" s="1"/>
  <c r="AF56" i="4" a="1"/>
  <c r="AF56" i="4" s="1"/>
  <c r="AE56" i="4" a="1"/>
  <c r="AE56" i="4" s="1"/>
  <c r="AD56" i="4" a="1"/>
  <c r="AD56" i="4" s="1"/>
  <c r="AC56" i="4" a="1"/>
  <c r="AC56" i="4" s="1"/>
  <c r="AB56" i="4" a="1"/>
  <c r="AB56" i="4" s="1"/>
  <c r="AA56" i="4" a="1"/>
  <c r="AA56" i="4" s="1"/>
  <c r="Z56" i="4" a="1"/>
  <c r="Z56" i="4" s="1"/>
  <c r="Y56" i="4" a="1"/>
  <c r="Y56" i="4" s="1"/>
  <c r="X56" i="4" a="1"/>
  <c r="X56" i="4" s="1"/>
  <c r="W56" i="4" a="1"/>
  <c r="W56" i="4" s="1"/>
  <c r="V56" i="4" a="1"/>
  <c r="V56" i="4" s="1"/>
  <c r="U56" i="4" a="1"/>
  <c r="U56" i="4" s="1"/>
  <c r="AG56" i="4" a="1"/>
  <c r="AG56" i="4" s="1"/>
  <c r="AF55" i="4" a="1"/>
  <c r="AF55" i="4" s="1"/>
  <c r="AE55" i="4" a="1"/>
  <c r="AE55" i="4" s="1"/>
  <c r="AD55" i="4" a="1"/>
  <c r="AD55" i="4" s="1"/>
  <c r="AC55" i="4" a="1"/>
  <c r="AC55" i="4" s="1"/>
  <c r="AB55" i="4" a="1"/>
  <c r="AB55" i="4" s="1"/>
  <c r="AA55" i="4" a="1"/>
  <c r="AA55" i="4" s="1"/>
  <c r="Z55" i="4" a="1"/>
  <c r="Z55" i="4" s="1"/>
  <c r="Y55" i="4" a="1"/>
  <c r="Y55" i="4" s="1"/>
  <c r="X55" i="4" a="1"/>
  <c r="X55" i="4" s="1"/>
  <c r="AG55" i="4" a="1"/>
  <c r="AG55" i="4" s="1"/>
  <c r="AH55" i="4" a="1"/>
  <c r="AH55" i="4" s="1"/>
  <c r="W55" i="4" a="1"/>
  <c r="W55" i="4" s="1"/>
  <c r="V55" i="4" a="1"/>
  <c r="V55" i="4" s="1"/>
  <c r="U55" i="4" a="1"/>
  <c r="U55" i="4" s="1"/>
  <c r="X54" i="4" a="1"/>
  <c r="X54" i="4" s="1"/>
  <c r="Y54" i="4" a="1"/>
  <c r="Y54" i="4" s="1"/>
  <c r="Z54" i="4" a="1"/>
  <c r="Z54" i="4" s="1"/>
  <c r="AA54" i="4" a="1"/>
  <c r="AA54" i="4" s="1"/>
  <c r="AB54" i="4" a="1"/>
  <c r="AB54" i="4" s="1"/>
  <c r="AC54" i="4" a="1"/>
  <c r="AC54" i="4" s="1"/>
  <c r="AD54" i="4" a="1"/>
  <c r="AD54" i="4" s="1"/>
  <c r="AE54" i="4" a="1"/>
  <c r="AE54" i="4" s="1"/>
  <c r="U54" i="4" a="1"/>
  <c r="U54" i="4" s="1"/>
  <c r="V54" i="4" a="1"/>
  <c r="V54" i="4" s="1"/>
  <c r="AF54" i="4" a="1"/>
  <c r="AF54" i="4" s="1"/>
  <c r="AG54" i="4" a="1"/>
  <c r="AG54" i="4" s="1"/>
  <c r="AH54" i="4" a="1"/>
  <c r="AH54" i="4" s="1"/>
  <c r="W54" i="4" a="1"/>
  <c r="W54" i="4" s="1"/>
  <c r="AB53" i="4" a="1"/>
  <c r="AB53" i="4" s="1"/>
  <c r="Z53" i="4" a="1"/>
  <c r="Z53" i="4" s="1"/>
  <c r="Y53" i="4" a="1"/>
  <c r="Y53" i="4" s="1"/>
  <c r="X53" i="4" a="1"/>
  <c r="X53" i="4" s="1"/>
  <c r="W53" i="4" a="1"/>
  <c r="W53" i="4" s="1"/>
  <c r="V53" i="4" a="1"/>
  <c r="V53" i="4" s="1"/>
  <c r="U53" i="4" a="1"/>
  <c r="U53" i="4" s="1"/>
  <c r="AA53" i="4" a="1"/>
  <c r="AA53" i="4" s="1"/>
  <c r="AC53" i="4" a="1"/>
  <c r="AC53" i="4" s="1"/>
  <c r="X52" i="4" a="1"/>
  <c r="X52" i="4" s="1"/>
  <c r="AH52" i="4" a="1"/>
  <c r="AH52" i="4" s="1"/>
  <c r="AD52" i="4" a="1"/>
  <c r="AD52" i="4" s="1"/>
  <c r="AC52" i="4" a="1"/>
  <c r="AC52" i="4" s="1"/>
  <c r="AF52" i="4" a="1"/>
  <c r="AF52" i="4" s="1"/>
  <c r="AB52" i="4" a="1"/>
  <c r="AB52" i="4" s="1"/>
  <c r="AA52" i="4" a="1"/>
  <c r="AA52" i="4" s="1"/>
  <c r="Z52" i="4" a="1"/>
  <c r="Z52" i="4" s="1"/>
  <c r="Y52" i="4" a="1"/>
  <c r="Y52" i="4" s="1"/>
  <c r="AG52" i="4" a="1"/>
  <c r="AG52" i="4" s="1"/>
  <c r="W52" i="4" a="1"/>
  <c r="W52" i="4" s="1"/>
  <c r="V52" i="4" a="1"/>
  <c r="V52" i="4" s="1"/>
  <c r="U52" i="4" a="1"/>
  <c r="U52" i="4" s="1"/>
  <c r="AE52" i="4" a="1"/>
  <c r="AE52" i="4" s="1"/>
  <c r="Y51" i="4" a="1"/>
  <c r="Y51" i="4" s="1"/>
  <c r="AF51" i="4" a="1"/>
  <c r="AF51" i="4" s="1"/>
  <c r="AG51" i="4" a="1"/>
  <c r="AG51" i="4" s="1"/>
  <c r="AD51" i="4" a="1"/>
  <c r="AD51" i="4" s="1"/>
  <c r="AC51" i="4" a="1"/>
  <c r="AC51" i="4" s="1"/>
  <c r="AB51" i="4" a="1"/>
  <c r="AB51" i="4" s="1"/>
  <c r="AA51" i="4" a="1"/>
  <c r="AA51" i="4" s="1"/>
  <c r="Z51" i="4" a="1"/>
  <c r="Z51" i="4" s="1"/>
  <c r="AH51" i="4" a="1"/>
  <c r="AH51" i="4" s="1"/>
  <c r="X51" i="4" a="1"/>
  <c r="X51" i="4" s="1"/>
  <c r="W51" i="4" a="1"/>
  <c r="W51" i="4" s="1"/>
  <c r="V51" i="4" a="1"/>
  <c r="V51" i="4" s="1"/>
  <c r="U51" i="4" a="1"/>
  <c r="U51" i="4" s="1"/>
  <c r="AE51" i="4" a="1"/>
  <c r="AE51" i="4" s="1"/>
  <c r="AH50" i="4" a="1"/>
  <c r="AH50" i="4" s="1"/>
  <c r="AF50" i="4" a="1"/>
  <c r="AF50" i="4" s="1"/>
  <c r="AE50" i="4" a="1"/>
  <c r="AE50" i="4" s="1"/>
  <c r="AD50" i="4" a="1"/>
  <c r="AD50" i="4" s="1"/>
  <c r="AC50" i="4" a="1"/>
  <c r="AC50" i="4" s="1"/>
  <c r="AB50" i="4" a="1"/>
  <c r="AB50" i="4" s="1"/>
  <c r="AA50" i="4" a="1"/>
  <c r="AA50" i="4" s="1"/>
  <c r="Z50" i="4" a="1"/>
  <c r="Z50" i="4" s="1"/>
  <c r="Y50" i="4" a="1"/>
  <c r="Y50" i="4" s="1"/>
  <c r="X50" i="4" a="1"/>
  <c r="X50" i="4" s="1"/>
  <c r="W50" i="4" a="1"/>
  <c r="W50" i="4" s="1"/>
  <c r="V50" i="4" a="1"/>
  <c r="V50" i="4" s="1"/>
  <c r="U50" i="4" a="1"/>
  <c r="U50" i="4" s="1"/>
  <c r="AG50" i="4" a="1"/>
  <c r="AG50" i="4" s="1"/>
  <c r="AD49" i="4" a="1"/>
  <c r="AD49" i="4" s="1"/>
  <c r="AC49" i="4" a="1"/>
  <c r="AC49" i="4" s="1"/>
  <c r="AF49" i="4" a="1"/>
  <c r="AF49" i="4" s="1"/>
  <c r="AG49" i="4" a="1"/>
  <c r="AG49" i="4" s="1"/>
  <c r="AH49" i="4" a="1"/>
  <c r="AH49" i="4" s="1"/>
  <c r="AB49" i="4" a="1"/>
  <c r="AB49" i="4" s="1"/>
  <c r="AA49" i="4" a="1"/>
  <c r="AA49" i="4" s="1"/>
  <c r="Z49" i="4" a="1"/>
  <c r="Z49" i="4" s="1"/>
  <c r="Y49" i="4" a="1"/>
  <c r="Y49" i="4" s="1"/>
  <c r="X49" i="4" a="1"/>
  <c r="X49" i="4" s="1"/>
  <c r="W49" i="4" a="1"/>
  <c r="W49" i="4" s="1"/>
  <c r="V49" i="4" a="1"/>
  <c r="V49" i="4" s="1"/>
  <c r="U49" i="4" a="1"/>
  <c r="U49" i="4" s="1"/>
  <c r="AE49" i="4" a="1"/>
  <c r="AE49" i="4" s="1"/>
  <c r="AH48" i="4" a="1"/>
  <c r="AH48" i="4" s="1"/>
  <c r="AF48" i="4" a="1"/>
  <c r="AF48" i="4" s="1"/>
  <c r="AE48" i="4" a="1"/>
  <c r="AE48" i="4" s="1"/>
  <c r="AD48" i="4" a="1"/>
  <c r="AD48" i="4" s="1"/>
  <c r="AC48" i="4" a="1"/>
  <c r="AC48" i="4" s="1"/>
  <c r="AB48" i="4" a="1"/>
  <c r="AB48" i="4" s="1"/>
  <c r="AA48" i="4" a="1"/>
  <c r="AA48" i="4" s="1"/>
  <c r="Z48" i="4" a="1"/>
  <c r="Z48" i="4" s="1"/>
  <c r="Y48" i="4" a="1"/>
  <c r="Y48" i="4" s="1"/>
  <c r="X48" i="4" a="1"/>
  <c r="X48" i="4" s="1"/>
  <c r="W48" i="4" a="1"/>
  <c r="W48" i="4" s="1"/>
  <c r="V48" i="4" a="1"/>
  <c r="V48" i="4" s="1"/>
  <c r="U48" i="4" a="1"/>
  <c r="U48" i="4" s="1"/>
  <c r="AG48" i="4" a="1"/>
  <c r="AG48" i="4" s="1"/>
  <c r="Y47" i="4" a="1"/>
  <c r="Y47" i="4" s="1"/>
  <c r="AH47" i="4" a="1"/>
  <c r="AH47" i="4" s="1"/>
  <c r="AE47" i="4" a="1"/>
  <c r="AE47" i="4" s="1"/>
  <c r="AD47" i="4" a="1"/>
  <c r="AD47" i="4" s="1"/>
  <c r="AC47" i="4" a="1"/>
  <c r="AC47" i="4" s="1"/>
  <c r="AB47" i="4" a="1"/>
  <c r="AB47" i="4" s="1"/>
  <c r="AA47" i="4" a="1"/>
  <c r="AA47" i="4" s="1"/>
  <c r="Z47" i="4" a="1"/>
  <c r="Z47" i="4" s="1"/>
  <c r="AG47" i="4" a="1"/>
  <c r="AG47" i="4" s="1"/>
  <c r="X47" i="4" a="1"/>
  <c r="X47" i="4" s="1"/>
  <c r="W47" i="4" a="1"/>
  <c r="W47" i="4" s="1"/>
  <c r="V47" i="4" a="1"/>
  <c r="V47" i="4" s="1"/>
  <c r="U47" i="4" a="1"/>
  <c r="U47" i="4" s="1"/>
  <c r="AF47" i="4" a="1"/>
  <c r="AF47" i="4" s="1"/>
  <c r="Y46" i="4" a="1"/>
  <c r="Y46" i="4" s="1"/>
  <c r="AF46" i="4" a="1"/>
  <c r="AF46" i="4" s="1"/>
  <c r="AE46" i="4" a="1"/>
  <c r="AE46" i="4" s="1"/>
  <c r="AD46" i="4" a="1"/>
  <c r="AD46" i="4" s="1"/>
  <c r="AC46" i="4" a="1"/>
  <c r="AC46" i="4" s="1"/>
  <c r="AB46" i="4" a="1"/>
  <c r="AB46" i="4" s="1"/>
  <c r="AA46" i="4" a="1"/>
  <c r="AA46" i="4" s="1"/>
  <c r="Z46" i="4" a="1"/>
  <c r="Z46" i="4" s="1"/>
  <c r="AH46" i="4" a="1"/>
  <c r="AH46" i="4" s="1"/>
  <c r="X46" i="4" a="1"/>
  <c r="X46" i="4" s="1"/>
  <c r="W46" i="4" a="1"/>
  <c r="W46" i="4" s="1"/>
  <c r="V46" i="4" a="1"/>
  <c r="V46" i="4" s="1"/>
  <c r="U46" i="4" a="1"/>
  <c r="U46" i="4" s="1"/>
  <c r="AG46" i="4" a="1"/>
  <c r="AG46" i="4" s="1"/>
  <c r="AH45" i="4" a="1"/>
  <c r="AH45" i="4" s="1"/>
  <c r="AF45" i="4" a="1"/>
  <c r="AF45" i="4" s="1"/>
  <c r="AE45" i="4" a="1"/>
  <c r="AE45" i="4" s="1"/>
  <c r="AD45" i="4" a="1"/>
  <c r="AD45" i="4" s="1"/>
  <c r="AC45" i="4" a="1"/>
  <c r="AC45" i="4" s="1"/>
  <c r="AB45" i="4" a="1"/>
  <c r="AB45" i="4" s="1"/>
  <c r="AA45" i="4" a="1"/>
  <c r="AA45" i="4" s="1"/>
  <c r="Z45" i="4" a="1"/>
  <c r="Z45" i="4" s="1"/>
  <c r="Y45" i="4" a="1"/>
  <c r="Y45" i="4" s="1"/>
  <c r="X45" i="4" a="1"/>
  <c r="X45" i="4" s="1"/>
  <c r="W45" i="4" a="1"/>
  <c r="W45" i="4" s="1"/>
  <c r="V45" i="4" a="1"/>
  <c r="V45" i="4" s="1"/>
  <c r="U45" i="4" a="1"/>
  <c r="U45" i="4" s="1"/>
  <c r="AG45" i="4" a="1"/>
  <c r="AG45" i="4" s="1"/>
  <c r="AE44" i="4" a="1"/>
  <c r="AE44" i="4" s="1"/>
  <c r="AH44" i="4" a="1"/>
  <c r="AH44" i="4" s="1"/>
  <c r="AA44" i="4" a="1"/>
  <c r="AA44" i="4" s="1"/>
  <c r="Z44" i="4" a="1"/>
  <c r="Z44" i="4" s="1"/>
  <c r="Y44" i="4" a="1"/>
  <c r="Y44" i="4" s="1"/>
  <c r="X44" i="4" a="1"/>
  <c r="X44" i="4" s="1"/>
  <c r="W44" i="4" a="1"/>
  <c r="W44" i="4" s="1"/>
  <c r="V44" i="4" a="1"/>
  <c r="V44" i="4" s="1"/>
  <c r="U44" i="4" a="1"/>
  <c r="U44" i="4" s="1"/>
  <c r="AD44" i="4" a="1"/>
  <c r="AD44" i="4" s="1"/>
  <c r="AF44" i="4" a="1"/>
  <c r="AF44" i="4" s="1"/>
  <c r="AG44" i="4" a="1"/>
  <c r="AG44" i="4" s="1"/>
  <c r="AC44" i="4" a="1"/>
  <c r="AC44" i="4" s="1"/>
  <c r="AB44" i="4" a="1"/>
  <c r="AB44" i="4" s="1"/>
  <c r="AG43" i="4" a="1"/>
  <c r="AG43" i="4" s="1"/>
  <c r="AE43" i="4" a="1"/>
  <c r="AE43" i="4" s="1"/>
  <c r="AD43" i="4" a="1"/>
  <c r="AD43" i="4" s="1"/>
  <c r="AC43" i="4" a="1"/>
  <c r="AC43" i="4" s="1"/>
  <c r="AB43" i="4" a="1"/>
  <c r="AB43" i="4" s="1"/>
  <c r="AA43" i="4" a="1"/>
  <c r="AA43" i="4" s="1"/>
  <c r="Z43" i="4" a="1"/>
  <c r="Z43" i="4" s="1"/>
  <c r="Y43" i="4" a="1"/>
  <c r="Y43" i="4" s="1"/>
  <c r="X43" i="4" a="1"/>
  <c r="X43" i="4" s="1"/>
  <c r="W43" i="4" a="1"/>
  <c r="W43" i="4" s="1"/>
  <c r="V43" i="4" a="1"/>
  <c r="V43" i="4" s="1"/>
  <c r="U43" i="4" a="1"/>
  <c r="U43" i="4" s="1"/>
  <c r="AH43" i="4" a="1"/>
  <c r="AH43" i="4" s="1"/>
  <c r="AF43" i="4" a="1"/>
  <c r="AF43" i="4" s="1"/>
  <c r="X42" i="4" a="1"/>
  <c r="X42" i="4" s="1"/>
  <c r="AG42" i="4" a="1"/>
  <c r="AG42" i="4" s="1"/>
  <c r="AD42" i="4" a="1"/>
  <c r="AD42" i="4" s="1"/>
  <c r="AC42" i="4" a="1"/>
  <c r="AC42" i="4" s="1"/>
  <c r="AB42" i="4" a="1"/>
  <c r="AB42" i="4" s="1"/>
  <c r="AA42" i="4" a="1"/>
  <c r="AA42" i="4" s="1"/>
  <c r="Z42" i="4" a="1"/>
  <c r="Z42" i="4" s="1"/>
  <c r="Y42" i="4" a="1"/>
  <c r="Y42" i="4" s="1"/>
  <c r="AF42" i="4" a="1"/>
  <c r="AF42" i="4" s="1"/>
  <c r="W42" i="4" a="1"/>
  <c r="W42" i="4" s="1"/>
  <c r="V42" i="4" a="1"/>
  <c r="V42" i="4" s="1"/>
  <c r="U42" i="4" a="1"/>
  <c r="U42" i="4" s="1"/>
  <c r="AH42" i="4" a="1"/>
  <c r="AH42" i="4" s="1"/>
  <c r="AE42" i="4" a="1"/>
  <c r="AE42" i="4" s="1"/>
  <c r="X41" i="4" a="1"/>
  <c r="X41" i="4" s="1"/>
  <c r="AE41" i="4" a="1"/>
  <c r="AE41" i="4" s="1"/>
  <c r="AD41" i="4" a="1"/>
  <c r="AD41" i="4" s="1"/>
  <c r="AC41" i="4" a="1"/>
  <c r="AC41" i="4" s="1"/>
  <c r="AB41" i="4" a="1"/>
  <c r="AB41" i="4" s="1"/>
  <c r="AA41" i="4" a="1"/>
  <c r="AA41" i="4" s="1"/>
  <c r="Z41" i="4" a="1"/>
  <c r="Z41" i="4" s="1"/>
  <c r="Y41" i="4" a="1"/>
  <c r="Y41" i="4" s="1"/>
  <c r="AG41" i="4" a="1"/>
  <c r="AG41" i="4" s="1"/>
  <c r="W41" i="4" a="1"/>
  <c r="W41" i="4" s="1"/>
  <c r="V41" i="4" a="1"/>
  <c r="V41" i="4" s="1"/>
  <c r="U41" i="4" a="1"/>
  <c r="U41" i="4" s="1"/>
  <c r="AH41" i="4" a="1"/>
  <c r="AH41" i="4" s="1"/>
  <c r="AF41" i="4" a="1"/>
  <c r="AF41" i="4" s="1"/>
  <c r="AG40" i="4" a="1"/>
  <c r="AG40" i="4" s="1"/>
  <c r="AE40" i="4" a="1"/>
  <c r="AE40" i="4" s="1"/>
  <c r="AD40" i="4" a="1"/>
  <c r="AD40" i="4" s="1"/>
  <c r="AC40" i="4" a="1"/>
  <c r="AC40" i="4" s="1"/>
  <c r="AB40" i="4" a="1"/>
  <c r="AB40" i="4" s="1"/>
  <c r="AH40" i="4" a="1"/>
  <c r="AH40" i="4" s="1"/>
  <c r="AA40" i="4" a="1"/>
  <c r="AA40" i="4" s="1"/>
  <c r="Z40" i="4" a="1"/>
  <c r="Z40" i="4" s="1"/>
  <c r="Y40" i="4" a="1"/>
  <c r="Y40" i="4" s="1"/>
  <c r="X40" i="4" a="1"/>
  <c r="X40" i="4" s="1"/>
  <c r="W40" i="4" a="1"/>
  <c r="W40" i="4" s="1"/>
  <c r="V40" i="4" a="1"/>
  <c r="V40" i="4" s="1"/>
  <c r="U40" i="4" a="1"/>
  <c r="U40" i="4" s="1"/>
  <c r="AF40" i="4" a="1"/>
  <c r="AF40" i="4" s="1"/>
  <c r="AE39" i="4" a="1"/>
  <c r="AE39" i="4" s="1"/>
  <c r="AG39" i="4" a="1"/>
  <c r="AG39" i="4" s="1"/>
  <c r="AH39" i="4" a="1"/>
  <c r="AH39" i="4" s="1"/>
  <c r="AD39" i="4" a="1"/>
  <c r="AD39" i="4" s="1"/>
  <c r="AC39" i="4" a="1"/>
  <c r="AC39" i="4" s="1"/>
  <c r="AB39" i="4" a="1"/>
  <c r="AB39" i="4" s="1"/>
  <c r="AA39" i="4" a="1"/>
  <c r="AA39" i="4" s="1"/>
  <c r="Z39" i="4" a="1"/>
  <c r="Z39" i="4" s="1"/>
  <c r="Y39" i="4" a="1"/>
  <c r="Y39" i="4" s="1"/>
  <c r="X39" i="4" a="1"/>
  <c r="X39" i="4" s="1"/>
  <c r="W39" i="4" a="1"/>
  <c r="W39" i="4" s="1"/>
  <c r="V39" i="4" a="1"/>
  <c r="V39" i="4" s="1"/>
  <c r="U39" i="4" a="1"/>
  <c r="U39" i="4" s="1"/>
  <c r="AF39" i="4" a="1"/>
  <c r="AF39" i="4" s="1"/>
  <c r="AH38" i="4" a="1"/>
  <c r="AH38" i="4" s="1"/>
  <c r="AF38" i="4" a="1"/>
  <c r="AF38" i="4" s="1"/>
  <c r="AE38" i="4" a="1"/>
  <c r="AE38" i="4" s="1"/>
  <c r="AD38" i="4" a="1"/>
  <c r="AD38" i="4" s="1"/>
  <c r="AC38" i="4" a="1"/>
  <c r="AC38" i="4" s="1"/>
  <c r="AB38" i="4" a="1"/>
  <c r="AB38" i="4" s="1"/>
  <c r="AA38" i="4" a="1"/>
  <c r="AA38" i="4" s="1"/>
  <c r="Z38" i="4" a="1"/>
  <c r="Z38" i="4" s="1"/>
  <c r="Y38" i="4" a="1"/>
  <c r="Y38" i="4" s="1"/>
  <c r="X38" i="4" a="1"/>
  <c r="X38" i="4" s="1"/>
  <c r="W38" i="4" a="1"/>
  <c r="W38" i="4" s="1"/>
  <c r="V38" i="4" a="1"/>
  <c r="V38" i="4" s="1"/>
  <c r="U38" i="4" a="1"/>
  <c r="U38" i="4" s="1"/>
  <c r="AG38" i="4" a="1"/>
  <c r="AG38" i="4" s="1"/>
  <c r="Y37" i="4" a="1"/>
  <c r="Y37" i="4" s="1"/>
  <c r="AH37" i="4" a="1"/>
  <c r="AH37" i="4" s="1"/>
  <c r="AE37" i="4" a="1"/>
  <c r="AE37" i="4" s="1"/>
  <c r="AD37" i="4" a="1"/>
  <c r="AD37" i="4" s="1"/>
  <c r="AC37" i="4" a="1"/>
  <c r="AC37" i="4" s="1"/>
  <c r="AB37" i="4" a="1"/>
  <c r="AB37" i="4" s="1"/>
  <c r="AA37" i="4" a="1"/>
  <c r="AA37" i="4" s="1"/>
  <c r="Z37" i="4" a="1"/>
  <c r="Z37" i="4" s="1"/>
  <c r="AG37" i="4" a="1"/>
  <c r="AG37" i="4" s="1"/>
  <c r="X37" i="4" a="1"/>
  <c r="X37" i="4" s="1"/>
  <c r="W37" i="4" a="1"/>
  <c r="W37" i="4" s="1"/>
  <c r="V37" i="4" a="1"/>
  <c r="V37" i="4" s="1"/>
  <c r="U37" i="4" a="1"/>
  <c r="U37" i="4" s="1"/>
  <c r="AF37" i="4" a="1"/>
  <c r="AF37" i="4" s="1"/>
  <c r="Y36" i="4" a="1"/>
  <c r="Y36" i="4" s="1"/>
  <c r="AF36" i="4" a="1"/>
  <c r="AF36" i="4" s="1"/>
  <c r="AE36" i="4" a="1"/>
  <c r="AE36" i="4" s="1"/>
  <c r="AD36" i="4" a="1"/>
  <c r="AD36" i="4" s="1"/>
  <c r="AC36" i="4" a="1"/>
  <c r="AC36" i="4" s="1"/>
  <c r="AB36" i="4" a="1"/>
  <c r="AB36" i="4" s="1"/>
  <c r="AA36" i="4" a="1"/>
  <c r="AA36" i="4" s="1"/>
  <c r="Z36" i="4" a="1"/>
  <c r="Z36" i="4" s="1"/>
  <c r="AH36" i="4" a="1"/>
  <c r="AH36" i="4" s="1"/>
  <c r="X36" i="4" a="1"/>
  <c r="X36" i="4" s="1"/>
  <c r="W36" i="4" a="1"/>
  <c r="W36" i="4" s="1"/>
  <c r="V36" i="4" a="1"/>
  <c r="V36" i="4" s="1"/>
  <c r="U36" i="4" a="1"/>
  <c r="U36" i="4" s="1"/>
  <c r="AG36" i="4" a="1"/>
  <c r="AG36" i="4" s="1"/>
  <c r="AH35" i="4" a="1"/>
  <c r="AH35" i="4" s="1"/>
  <c r="AF35" i="4" a="1"/>
  <c r="AF35" i="4" s="1"/>
  <c r="AE35" i="4" a="1"/>
  <c r="AE35" i="4" s="1"/>
  <c r="AD35" i="4" a="1"/>
  <c r="AD35" i="4" s="1"/>
  <c r="AC35" i="4" a="1"/>
  <c r="AC35" i="4" s="1"/>
  <c r="AB35" i="4" a="1"/>
  <c r="AB35" i="4" s="1"/>
  <c r="AA35" i="4" a="1"/>
  <c r="AA35" i="4" s="1"/>
  <c r="Z35" i="4" a="1"/>
  <c r="Z35" i="4" s="1"/>
  <c r="Y35" i="4" a="1"/>
  <c r="Y35" i="4" s="1"/>
  <c r="X35" i="4" a="1"/>
  <c r="X35" i="4" s="1"/>
  <c r="W35" i="4" a="1"/>
  <c r="W35" i="4" s="1"/>
  <c r="V35" i="4" a="1"/>
  <c r="V35" i="4" s="1"/>
  <c r="U35" i="4" a="1"/>
  <c r="U35" i="4" s="1"/>
  <c r="AG35" i="4" a="1"/>
  <c r="AG35" i="4" s="1"/>
  <c r="AH34" i="4" a="1"/>
  <c r="AH34" i="4" s="1"/>
  <c r="AE34" i="4" a="1"/>
  <c r="AE34" i="4" s="1"/>
  <c r="AF34" i="4" a="1"/>
  <c r="AF34" i="4" s="1"/>
  <c r="AB34" i="4" a="1"/>
  <c r="AB34" i="4" s="1"/>
  <c r="AA34" i="4" a="1"/>
  <c r="AA34" i="4" s="1"/>
  <c r="Z34" i="4" a="1"/>
  <c r="Z34" i="4" s="1"/>
  <c r="Y34" i="4" a="1"/>
  <c r="Y34" i="4" s="1"/>
  <c r="X34" i="4" a="1"/>
  <c r="X34" i="4" s="1"/>
  <c r="W34" i="4" a="1"/>
  <c r="W34" i="4" s="1"/>
  <c r="V34" i="4" a="1"/>
  <c r="V34" i="4" s="1"/>
  <c r="U34" i="4" a="1"/>
  <c r="U34" i="4" s="1"/>
  <c r="AC34" i="4" a="1"/>
  <c r="AC34" i="4" s="1"/>
  <c r="AG34" i="4" a="1"/>
  <c r="AG34" i="4" s="1"/>
  <c r="AD34" i="4" a="1"/>
  <c r="AD34" i="4" s="1"/>
  <c r="AF33" i="4" a="1"/>
  <c r="AF33" i="4" s="1"/>
  <c r="AE33" i="4" a="1"/>
  <c r="AE33" i="4" s="1"/>
  <c r="AD33" i="4" a="1"/>
  <c r="AD33" i="4" s="1"/>
  <c r="AC33" i="4" a="1"/>
  <c r="AC33" i="4" s="1"/>
  <c r="AB33" i="4" a="1"/>
  <c r="AB33" i="4" s="1"/>
  <c r="AA33" i="4" a="1"/>
  <c r="AA33" i="4" s="1"/>
  <c r="Z33" i="4" a="1"/>
  <c r="Z33" i="4" s="1"/>
  <c r="AG33" i="4" a="1"/>
  <c r="AG33" i="4" s="1"/>
  <c r="AH33" i="4" a="1"/>
  <c r="AH33" i="4" s="1"/>
  <c r="Y33" i="4" a="1"/>
  <c r="Y33" i="4" s="1"/>
  <c r="X33" i="4" a="1"/>
  <c r="X33" i="4" s="1"/>
  <c r="W33" i="4" a="1"/>
  <c r="W33" i="4" s="1"/>
  <c r="V33" i="4" a="1"/>
  <c r="V33" i="4" s="1"/>
  <c r="U33" i="4" a="1"/>
  <c r="U33" i="4" s="1"/>
  <c r="AH32" i="4" a="1"/>
  <c r="AH32" i="4" s="1"/>
  <c r="AG32" i="4" a="1"/>
  <c r="AG32" i="4" s="1"/>
  <c r="AF32" i="4" a="1"/>
  <c r="AF32" i="4" s="1"/>
  <c r="AE32" i="4" a="1"/>
  <c r="AE32" i="4" s="1"/>
  <c r="AD32" i="4" a="1"/>
  <c r="AD32" i="4" s="1"/>
  <c r="AC32" i="4" a="1"/>
  <c r="AC32" i="4" s="1"/>
  <c r="AB32" i="4" a="1"/>
  <c r="AB32" i="4" s="1"/>
  <c r="AA32" i="4" a="1"/>
  <c r="AA32" i="4" s="1"/>
  <c r="Z32" i="4" a="1"/>
  <c r="Z32" i="4" s="1"/>
  <c r="Y32" i="4" a="1"/>
  <c r="Y32" i="4" s="1"/>
  <c r="X32" i="4" a="1"/>
  <c r="X32" i="4" s="1"/>
  <c r="W32" i="4" a="1"/>
  <c r="W32" i="4" s="1"/>
  <c r="V32" i="4" a="1"/>
  <c r="V32" i="4" s="1"/>
  <c r="U32" i="4" a="1"/>
  <c r="U32" i="4" s="1"/>
  <c r="AH31" i="4" a="1"/>
  <c r="AH31" i="4" s="1"/>
  <c r="AD31" i="4" a="1"/>
  <c r="AD31" i="4" s="1"/>
  <c r="AA31" i="4" a="1"/>
  <c r="AA31" i="4" s="1"/>
  <c r="Z31" i="4" a="1"/>
  <c r="Z31" i="4" s="1"/>
  <c r="Y31" i="4" a="1"/>
  <c r="Y31" i="4" s="1"/>
  <c r="X31" i="4" a="1"/>
  <c r="X31" i="4" s="1"/>
  <c r="W31" i="4" a="1"/>
  <c r="W31" i="4" s="1"/>
  <c r="V31" i="4" a="1"/>
  <c r="V31" i="4" s="1"/>
  <c r="U31" i="4" a="1"/>
  <c r="U31" i="4" s="1"/>
  <c r="AC31" i="4" a="1"/>
  <c r="AC31" i="4" s="1"/>
  <c r="AF31" i="4" a="1"/>
  <c r="AF31" i="4" s="1"/>
  <c r="AE31" i="4" a="1"/>
  <c r="AE31" i="4" s="1"/>
  <c r="AB31" i="4" a="1"/>
  <c r="AB31" i="4" s="1"/>
  <c r="AG31" i="4" a="1"/>
  <c r="AG31" i="4" s="1"/>
  <c r="AD30" i="4" a="1"/>
  <c r="AD30" i="4" s="1"/>
  <c r="AC30" i="4" a="1"/>
  <c r="AC30" i="4" s="1"/>
  <c r="AB30" i="4" a="1"/>
  <c r="AB30" i="4" s="1"/>
  <c r="AA30" i="4" a="1"/>
  <c r="AA30" i="4" s="1"/>
  <c r="Z30" i="4" a="1"/>
  <c r="Z30" i="4" s="1"/>
  <c r="AE30" i="4" a="1"/>
  <c r="AE30" i="4" s="1"/>
  <c r="Y30" i="4" a="1"/>
  <c r="Y30" i="4" s="1"/>
  <c r="X30" i="4" a="1"/>
  <c r="X30" i="4" s="1"/>
  <c r="AF30" i="4" a="1"/>
  <c r="AF30" i="4" s="1"/>
  <c r="V30" i="4" a="1"/>
  <c r="V30" i="4" s="1"/>
  <c r="U30" i="4" a="1"/>
  <c r="U30" i="4" s="1"/>
  <c r="AG30" i="4" a="1"/>
  <c r="AG30" i="4" s="1"/>
  <c r="AH30" i="4" a="1"/>
  <c r="AH30" i="4" s="1"/>
  <c r="W30" i="4" a="1"/>
  <c r="W30" i="4" s="1"/>
  <c r="AH29" i="4" a="1"/>
  <c r="AH29" i="4" s="1"/>
  <c r="AG29" i="4" a="1"/>
  <c r="AG29" i="4" s="1"/>
  <c r="AF29" i="4" a="1"/>
  <c r="AF29" i="4" s="1"/>
  <c r="AE29" i="4" a="1"/>
  <c r="AE29" i="4" s="1"/>
  <c r="AD29" i="4" a="1"/>
  <c r="AD29" i="4" s="1"/>
  <c r="AC29" i="4" a="1"/>
  <c r="AC29" i="4" s="1"/>
  <c r="AB29" i="4" a="1"/>
  <c r="AB29" i="4" s="1"/>
  <c r="AA29" i="4" a="1"/>
  <c r="AA29" i="4" s="1"/>
  <c r="Z29" i="4" a="1"/>
  <c r="Z29" i="4" s="1"/>
  <c r="Y29" i="4" a="1"/>
  <c r="Y29" i="4" s="1"/>
  <c r="X29" i="4" a="1"/>
  <c r="X29" i="4" s="1"/>
  <c r="W29" i="4" a="1"/>
  <c r="W29" i="4" s="1"/>
  <c r="V29" i="4" a="1"/>
  <c r="V29" i="4" s="1"/>
  <c r="U29" i="4" a="1"/>
  <c r="U29" i="4" s="1"/>
  <c r="Y28" i="4" a="1"/>
  <c r="Y28" i="4" s="1"/>
  <c r="AF28" i="4" a="1"/>
  <c r="AF28" i="4" s="1"/>
  <c r="U28" i="4" a="1"/>
  <c r="U28" i="4" s="1"/>
  <c r="V28" i="4" a="1"/>
  <c r="V28" i="4" s="1"/>
  <c r="W28" i="4" a="1"/>
  <c r="W28" i="4" s="1"/>
  <c r="X28" i="4" a="1"/>
  <c r="X28" i="4" s="1"/>
  <c r="Z28" i="4" a="1"/>
  <c r="Z28" i="4" s="1"/>
  <c r="AB28" i="4" a="1"/>
  <c r="AB28" i="4" s="1"/>
  <c r="AC28" i="4" a="1"/>
  <c r="AC28" i="4" s="1"/>
  <c r="AD28" i="4" a="1"/>
  <c r="AD28" i="4" s="1"/>
  <c r="AE28" i="4" a="1"/>
  <c r="AE28" i="4" s="1"/>
  <c r="AA28" i="4" a="1"/>
  <c r="AA28" i="4" s="1"/>
  <c r="AH28" i="4" a="1"/>
  <c r="AH28" i="4" s="1"/>
  <c r="AG28" i="4" a="1"/>
  <c r="AG28" i="4" s="1"/>
  <c r="AF27" i="4" a="1"/>
  <c r="AF27" i="4" s="1"/>
  <c r="AG27" i="4" a="1"/>
  <c r="AG27" i="4" s="1"/>
  <c r="AE27" i="4" a="1"/>
  <c r="AE27" i="4" s="1"/>
  <c r="AD27" i="4" a="1"/>
  <c r="AD27" i="4" s="1"/>
  <c r="AC27" i="4" a="1"/>
  <c r="AC27" i="4" s="1"/>
  <c r="AB27" i="4" a="1"/>
  <c r="AB27" i="4" s="1"/>
  <c r="AA27" i="4" a="1"/>
  <c r="AA27" i="4" s="1"/>
  <c r="Z27" i="4" a="1"/>
  <c r="Z27" i="4" s="1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AH27" i="4" a="1"/>
  <c r="AH27" i="4" s="1"/>
  <c r="AE26" i="4" a="1"/>
  <c r="AE26" i="4" s="1"/>
  <c r="AD26" i="4" a="1"/>
  <c r="AD26" i="4" s="1"/>
  <c r="AC26" i="4" a="1"/>
  <c r="AC26" i="4" s="1"/>
  <c r="AB26" i="4" a="1"/>
  <c r="AB26" i="4" s="1"/>
  <c r="AA26" i="4" a="1"/>
  <c r="AA26" i="4" s="1"/>
  <c r="Z26" i="4" a="1"/>
  <c r="Z26" i="4" s="1"/>
  <c r="Y26" i="4" a="1"/>
  <c r="Y26" i="4" s="1"/>
  <c r="X26" i="4" a="1"/>
  <c r="X26" i="4" s="1"/>
  <c r="W26" i="4" a="1"/>
  <c r="W26" i="4" s="1"/>
  <c r="V26" i="4" a="1"/>
  <c r="V26" i="4" s="1"/>
  <c r="U26" i="4" a="1"/>
  <c r="U26" i="4" s="1"/>
  <c r="AH26" i="4" a="1"/>
  <c r="AH26" i="4" s="1"/>
  <c r="AF26" i="4" a="1"/>
  <c r="AF26" i="4" s="1"/>
  <c r="AG26" i="4" a="1"/>
  <c r="AG26" i="4" s="1"/>
  <c r="AH25" i="4" a="1"/>
  <c r="AH25" i="4" s="1"/>
  <c r="AG25" i="4" a="1"/>
  <c r="AG25" i="4" s="1"/>
  <c r="AF25" i="4" a="1"/>
  <c r="AF25" i="4" s="1"/>
  <c r="AE25" i="4" a="1"/>
  <c r="AE25" i="4" s="1"/>
  <c r="AD25" i="4" a="1"/>
  <c r="AD25" i="4" s="1"/>
  <c r="AC25" i="4" a="1"/>
  <c r="AC25" i="4" s="1"/>
  <c r="AB25" i="4" a="1"/>
  <c r="AB25" i="4" s="1"/>
  <c r="AA25" i="4" a="1"/>
  <c r="AA25" i="4" s="1"/>
  <c r="Z25" i="4" a="1"/>
  <c r="Z25" i="4" s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AE24" i="4" a="1"/>
  <c r="AE24" i="4" s="1"/>
  <c r="AC24" i="4" a="1"/>
  <c r="AC24" i="4" s="1"/>
  <c r="AD24" i="4" a="1"/>
  <c r="AD24" i="4" s="1"/>
  <c r="AH24" i="4" a="1"/>
  <c r="AH24" i="4" s="1"/>
  <c r="AG24" i="4" a="1"/>
  <c r="AG24" i="4" s="1"/>
  <c r="AF24" i="4" a="1"/>
  <c r="AF24" i="4" s="1"/>
  <c r="AB24" i="4" a="1"/>
  <c r="AB24" i="4" s="1"/>
  <c r="AA24" i="4" a="1"/>
  <c r="AA24" i="4" s="1"/>
  <c r="Z24" i="4" a="1"/>
  <c r="Z24" i="4" s="1"/>
  <c r="Y24" i="4" a="1"/>
  <c r="Y24" i="4" s="1"/>
  <c r="X24" i="4" a="1"/>
  <c r="X24" i="4" s="1"/>
  <c r="W24" i="4" a="1"/>
  <c r="W24" i="4" s="1"/>
  <c r="V24" i="4" a="1"/>
  <c r="V24" i="4" s="1"/>
  <c r="U24" i="4" a="1"/>
  <c r="U24" i="4" s="1"/>
  <c r="V23" i="4" a="1"/>
  <c r="V23" i="4" s="1"/>
  <c r="AE23" i="4" a="1"/>
  <c r="AE23" i="4" s="1"/>
  <c r="Y23" i="4" a="1"/>
  <c r="Y23" i="4" s="1"/>
  <c r="W23" i="4" a="1"/>
  <c r="W23" i="4" s="1"/>
  <c r="AH23" i="4" a="1"/>
  <c r="AH23" i="4" s="1"/>
  <c r="AG23" i="4" a="1"/>
  <c r="AG23" i="4" s="1"/>
  <c r="U23" i="4" a="1"/>
  <c r="U23" i="4" s="1"/>
  <c r="AF23" i="4" a="1"/>
  <c r="AF23" i="4" s="1"/>
  <c r="Z23" i="4" a="1"/>
  <c r="Z23" i="4" s="1"/>
  <c r="AA23" i="4" a="1"/>
  <c r="AA23" i="4" s="1"/>
  <c r="AB23" i="4" a="1"/>
  <c r="AB23" i="4" s="1"/>
  <c r="AC23" i="4" a="1"/>
  <c r="AC23" i="4" s="1"/>
  <c r="AD23" i="4" a="1"/>
  <c r="AD23" i="4" s="1"/>
  <c r="X23" i="4" a="1"/>
  <c r="X23" i="4" s="1"/>
  <c r="AC22" i="4" a="1"/>
  <c r="AC22" i="4" s="1"/>
  <c r="AH22" i="4" a="1"/>
  <c r="AH22" i="4" s="1"/>
  <c r="AG22" i="4" a="1"/>
  <c r="AG22" i="4" s="1"/>
  <c r="AB22" i="4" a="1"/>
  <c r="AB22" i="4" s="1"/>
  <c r="AA22" i="4" a="1"/>
  <c r="AA22" i="4" s="1"/>
  <c r="Z22" i="4" a="1"/>
  <c r="Z22" i="4" s="1"/>
  <c r="Y22" i="4" a="1"/>
  <c r="Y22" i="4" s="1"/>
  <c r="X22" i="4" a="1"/>
  <c r="X22" i="4" s="1"/>
  <c r="W22" i="4" a="1"/>
  <c r="W22" i="4" s="1"/>
  <c r="V22" i="4" a="1"/>
  <c r="V22" i="4" s="1"/>
  <c r="U22" i="4" a="1"/>
  <c r="U22" i="4" s="1"/>
  <c r="AF22" i="4" a="1"/>
  <c r="AF22" i="4" s="1"/>
  <c r="AE22" i="4" a="1"/>
  <c r="AE22" i="4" s="1"/>
  <c r="AD22" i="4" a="1"/>
  <c r="AD22" i="4" s="1"/>
  <c r="W21" i="4" a="1"/>
  <c r="W21" i="4" s="1"/>
  <c r="X21" i="4" a="1"/>
  <c r="X21" i="4" s="1"/>
  <c r="AH21" i="4" a="1"/>
  <c r="AH21" i="4" s="1"/>
  <c r="AG21" i="4" a="1"/>
  <c r="AG21" i="4" s="1"/>
  <c r="AF21" i="4" a="1"/>
  <c r="AF21" i="4" s="1"/>
  <c r="AE21" i="4" a="1"/>
  <c r="AE21" i="4" s="1"/>
  <c r="AD21" i="4" a="1"/>
  <c r="AD21" i="4" s="1"/>
  <c r="AC21" i="4" a="1"/>
  <c r="AC21" i="4" s="1"/>
  <c r="AB21" i="4" a="1"/>
  <c r="AB21" i="4" s="1"/>
  <c r="AA21" i="4" a="1"/>
  <c r="AA21" i="4" s="1"/>
  <c r="V21" i="4" a="1"/>
  <c r="V21" i="4" s="1"/>
  <c r="Z21" i="4" a="1"/>
  <c r="Z21" i="4" s="1"/>
  <c r="Y21" i="4" a="1"/>
  <c r="Y21" i="4" s="1"/>
  <c r="U21" i="4" a="1"/>
  <c r="U21" i="4" s="1"/>
  <c r="K21" i="4" s="1"/>
  <c r="AH20" i="4" a="1"/>
  <c r="AH20" i="4" s="1"/>
  <c r="AG20" i="4" a="1"/>
  <c r="AG20" i="4" s="1"/>
  <c r="AF20" i="4" a="1"/>
  <c r="AF20" i="4" s="1"/>
  <c r="AE20" i="4" a="1"/>
  <c r="AE20" i="4" s="1"/>
  <c r="AD20" i="4" a="1"/>
  <c r="AD20" i="4" s="1"/>
  <c r="AC20" i="4" a="1"/>
  <c r="AC20" i="4" s="1"/>
  <c r="AB20" i="4" a="1"/>
  <c r="AB20" i="4" s="1"/>
  <c r="AA20" i="4" a="1"/>
  <c r="AA20" i="4" s="1"/>
  <c r="Z20" i="4" a="1"/>
  <c r="Z20" i="4" s="1"/>
  <c r="Y20" i="4" a="1"/>
  <c r="Y20" i="4" s="1"/>
  <c r="X20" i="4" a="1"/>
  <c r="X20" i="4" s="1"/>
  <c r="W20" i="4" a="1"/>
  <c r="W20" i="4" s="1"/>
  <c r="V20" i="4" a="1"/>
  <c r="V20" i="4" s="1"/>
  <c r="U20" i="4" a="1"/>
  <c r="U20" i="4" s="1"/>
  <c r="AA19" i="4" a="1"/>
  <c r="AA19" i="4" s="1"/>
  <c r="U19" i="4" a="1"/>
  <c r="U19" i="4" s="1"/>
  <c r="AG19" i="4" a="1"/>
  <c r="AG19" i="4" s="1"/>
  <c r="AF19" i="4" a="1"/>
  <c r="AF19" i="4" s="1"/>
  <c r="AE19" i="4" a="1"/>
  <c r="AE19" i="4" s="1"/>
  <c r="AD19" i="4" a="1"/>
  <c r="AD19" i="4" s="1"/>
  <c r="AC19" i="4" a="1"/>
  <c r="AC19" i="4" s="1"/>
  <c r="AB19" i="4" a="1"/>
  <c r="AB19" i="4" s="1"/>
  <c r="Z19" i="4" a="1"/>
  <c r="Z19" i="4" s="1"/>
  <c r="Y19" i="4" a="1"/>
  <c r="Y19" i="4" s="1"/>
  <c r="X19" i="4" a="1"/>
  <c r="X19" i="4" s="1"/>
  <c r="W19" i="4" a="1"/>
  <c r="W19" i="4" s="1"/>
  <c r="V19" i="4" a="1"/>
  <c r="V19" i="4" s="1"/>
  <c r="AH19" i="4" a="1"/>
  <c r="AH19" i="4" s="1"/>
  <c r="AH18" i="4" a="1"/>
  <c r="AH18" i="4" s="1"/>
  <c r="AG18" i="4" a="1"/>
  <c r="AG18" i="4" s="1"/>
  <c r="AF18" i="4" a="1"/>
  <c r="AF18" i="4" s="1"/>
  <c r="AE18" i="4" a="1"/>
  <c r="AE18" i="4" s="1"/>
  <c r="AD18" i="4" a="1"/>
  <c r="AD18" i="4" s="1"/>
  <c r="AC18" i="4" a="1"/>
  <c r="AC18" i="4" s="1"/>
  <c r="AB18" i="4" a="1"/>
  <c r="AB18" i="4" s="1"/>
  <c r="AA18" i="4" a="1"/>
  <c r="AA18" i="4" s="1"/>
  <c r="Z18" i="4" a="1"/>
  <c r="Z18" i="4" s="1"/>
  <c r="Y18" i="4" a="1"/>
  <c r="Y18" i="4" s="1"/>
  <c r="X18" i="4" a="1"/>
  <c r="X18" i="4" s="1"/>
  <c r="W18" i="4" a="1"/>
  <c r="W18" i="4" s="1"/>
  <c r="V18" i="4" a="1"/>
  <c r="V18" i="4" s="1"/>
  <c r="U18" i="4" a="1"/>
  <c r="U18" i="4" s="1"/>
  <c r="AH17" i="4" a="1"/>
  <c r="AH17" i="4" s="1"/>
  <c r="AG17" i="4" a="1"/>
  <c r="AG17" i="4" s="1"/>
  <c r="AF17" i="4" a="1"/>
  <c r="AF17" i="4" s="1"/>
  <c r="AE17" i="4" a="1"/>
  <c r="AE17" i="4" s="1"/>
  <c r="AD17" i="4" a="1"/>
  <c r="AD17" i="4" s="1"/>
  <c r="AC17" i="4" a="1"/>
  <c r="AC17" i="4" s="1"/>
  <c r="AB17" i="4" a="1"/>
  <c r="AB17" i="4" s="1"/>
  <c r="AA17" i="4" a="1"/>
  <c r="AA17" i="4" s="1"/>
  <c r="Z17" i="4" a="1"/>
  <c r="Z17" i="4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X16" i="4" a="1"/>
  <c r="X16" i="4" s="1"/>
  <c r="AH16" i="4" a="1"/>
  <c r="AH16" i="4" s="1"/>
  <c r="AG16" i="4" a="1"/>
  <c r="AG16" i="4" s="1"/>
  <c r="AF16" i="4" a="1"/>
  <c r="AF16" i="4" s="1"/>
  <c r="AE16" i="4" a="1"/>
  <c r="AE16" i="4" s="1"/>
  <c r="AD16" i="4" a="1"/>
  <c r="AD16" i="4" s="1"/>
  <c r="AC16" i="4" a="1"/>
  <c r="AC16" i="4" s="1"/>
  <c r="AB16" i="4" a="1"/>
  <c r="AB16" i="4" s="1"/>
  <c r="AA16" i="4" a="1"/>
  <c r="AA16" i="4" s="1"/>
  <c r="Z16" i="4" a="1"/>
  <c r="Z16" i="4" s="1"/>
  <c r="W16" i="4" a="1"/>
  <c r="W16" i="4" s="1"/>
  <c r="Y16" i="4" a="1"/>
  <c r="Y16" i="4" s="1"/>
  <c r="V16" i="4" a="1"/>
  <c r="V16" i="4" s="1"/>
  <c r="U16" i="4" a="1"/>
  <c r="U16" i="4" s="1"/>
  <c r="AH15" i="4" a="1"/>
  <c r="AH15" i="4" s="1"/>
  <c r="AG15" i="4" a="1"/>
  <c r="AG15" i="4" s="1"/>
  <c r="AF15" i="4" a="1"/>
  <c r="AF15" i="4" s="1"/>
  <c r="AE15" i="4" a="1"/>
  <c r="AE15" i="4" s="1"/>
  <c r="AD15" i="4" a="1"/>
  <c r="AD15" i="4" s="1"/>
  <c r="AC15" i="4" a="1"/>
  <c r="AC15" i="4" s="1"/>
  <c r="AB15" i="4" a="1"/>
  <c r="AB15" i="4" s="1"/>
  <c r="AA15" i="4" a="1"/>
  <c r="AA15" i="4" s="1"/>
  <c r="Z15" i="4" a="1"/>
  <c r="Z15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AG14" i="4" a="1"/>
  <c r="AG14" i="4" s="1"/>
  <c r="AH14" i="4" a="1"/>
  <c r="AH14" i="4" s="1"/>
  <c r="AF14" i="4" a="1"/>
  <c r="AF14" i="4" s="1"/>
  <c r="AE14" i="4" a="1"/>
  <c r="AE14" i="4" s="1"/>
  <c r="AD14" i="4" a="1"/>
  <c r="AD14" i="4" s="1"/>
  <c r="AC14" i="4" a="1"/>
  <c r="AC14" i="4" s="1"/>
  <c r="AB14" i="4" a="1"/>
  <c r="AB14" i="4" s="1"/>
  <c r="AA14" i="4" a="1"/>
  <c r="AA14" i="4" s="1"/>
  <c r="Z14" i="4" a="1"/>
  <c r="Z14" i="4" s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K14" i="4" s="1"/>
  <c r="Z13" i="4" a="1"/>
  <c r="Z13" i="4" s="1"/>
  <c r="AG13" i="4" a="1"/>
  <c r="AG13" i="4" s="1"/>
  <c r="AF13" i="4" a="1"/>
  <c r="AF13" i="4" s="1"/>
  <c r="AE13" i="4" a="1"/>
  <c r="AE13" i="4" s="1"/>
  <c r="AD13" i="4" a="1"/>
  <c r="AD13" i="4" s="1"/>
  <c r="AC13" i="4" a="1"/>
  <c r="AC13" i="4" s="1"/>
  <c r="AB13" i="4" a="1"/>
  <c r="AB13" i="4" s="1"/>
  <c r="AA13" i="4" a="1"/>
  <c r="AA13" i="4" s="1"/>
  <c r="AH13" i="4" a="1"/>
  <c r="AH13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AH12" i="4" a="1"/>
  <c r="AH12" i="4" s="1"/>
  <c r="AG12" i="4" a="1"/>
  <c r="AG12" i="4" s="1"/>
  <c r="AF12" i="4" a="1"/>
  <c r="AF12" i="4" s="1"/>
  <c r="AE12" i="4" a="1"/>
  <c r="AE12" i="4" s="1"/>
  <c r="AD12" i="4" a="1"/>
  <c r="AD12" i="4" s="1"/>
  <c r="AC12" i="4" a="1"/>
  <c r="AC12" i="4" s="1"/>
  <c r="AB12" i="4" a="1"/>
  <c r="AB12" i="4" s="1"/>
  <c r="AA12" i="4" a="1"/>
  <c r="AA12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AE11" i="4" a="1"/>
  <c r="AE11" i="4" s="1"/>
  <c r="AG11" i="4" a="1"/>
  <c r="AG11" i="4" s="1"/>
  <c r="AF11" i="4" a="1"/>
  <c r="AF11" i="4" s="1"/>
  <c r="AD11" i="4" a="1"/>
  <c r="AD11" i="4" s="1"/>
  <c r="AC11" i="4" a="1"/>
  <c r="AC11" i="4" s="1"/>
  <c r="AB11" i="4" a="1"/>
  <c r="AB11" i="4" s="1"/>
  <c r="AA11" i="4" a="1"/>
  <c r="AA11" i="4" s="1"/>
  <c r="Z11" i="4" a="1"/>
  <c r="Z11" i="4" s="1"/>
  <c r="AH11" i="4" a="1"/>
  <c r="AH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AH10" i="4" a="1"/>
  <c r="AH10" i="4" s="1"/>
  <c r="AG10" i="4" a="1"/>
  <c r="AG10" i="4" s="1"/>
  <c r="AF10" i="4" a="1"/>
  <c r="AF10" i="4" s="1"/>
  <c r="AE10" i="4" a="1"/>
  <c r="AE10" i="4" s="1"/>
  <c r="AD10" i="4" a="1"/>
  <c r="AD10" i="4" s="1"/>
  <c r="AC10" i="4" a="1"/>
  <c r="AC10" i="4" s="1"/>
  <c r="AB10" i="4" a="1"/>
  <c r="AB10" i="4" s="1"/>
  <c r="AA10" i="4" a="1"/>
  <c r="AA10" i="4" s="1"/>
  <c r="Z10" i="4" a="1"/>
  <c r="Z10" i="4" s="1"/>
  <c r="Y10" i="4" a="1"/>
  <c r="Y10" i="4" s="1"/>
  <c r="X10" i="4" a="1"/>
  <c r="X10" i="4" s="1"/>
  <c r="W10" i="4" a="1"/>
  <c r="W10" i="4" s="1"/>
  <c r="V10" i="4" a="1"/>
  <c r="V10" i="4" s="1"/>
  <c r="U10" i="4" a="1"/>
  <c r="U10" i="4" s="1"/>
  <c r="AF9" i="4" a="1"/>
  <c r="AF9" i="4" s="1"/>
  <c r="AG9" i="4" a="1"/>
  <c r="AG9" i="4" s="1"/>
  <c r="AH9" i="4" a="1"/>
  <c r="AH9" i="4" s="1"/>
  <c r="AE9" i="4" a="1"/>
  <c r="AE9" i="4" s="1"/>
  <c r="AD9" i="4" a="1"/>
  <c r="AD9" i="4" s="1"/>
  <c r="AC9" i="4" a="1"/>
  <c r="AC9" i="4" s="1"/>
  <c r="AB9" i="4" a="1"/>
  <c r="AB9" i="4" s="1"/>
  <c r="AA9" i="4" a="1"/>
  <c r="AA9" i="4" s="1"/>
  <c r="Z9" i="4" a="1"/>
  <c r="Z9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AH8" i="4" a="1"/>
  <c r="AH8" i="4" s="1"/>
  <c r="AG8" i="4" a="1"/>
  <c r="AG8" i="4" s="1"/>
  <c r="AF8" i="4" a="1"/>
  <c r="AF8" i="4" s="1"/>
  <c r="AE8" i="4" a="1"/>
  <c r="AE8" i="4" s="1"/>
  <c r="AD8" i="4" a="1"/>
  <c r="AD8" i="4" s="1"/>
  <c r="AC8" i="4" a="1"/>
  <c r="AC8" i="4" s="1"/>
  <c r="AB8" i="4" a="1"/>
  <c r="AB8" i="4" s="1"/>
  <c r="AA8" i="4" a="1"/>
  <c r="AA8" i="4" s="1"/>
  <c r="Z8" i="4" a="1"/>
  <c r="Z8" i="4" s="1"/>
  <c r="X8" i="4" a="1"/>
  <c r="X8" i="4" s="1"/>
  <c r="W8" i="4" a="1"/>
  <c r="W8" i="4" s="1"/>
  <c r="V8" i="4" a="1"/>
  <c r="V8" i="4" s="1"/>
  <c r="U8" i="4" a="1"/>
  <c r="U8" i="4" s="1"/>
  <c r="Y8" i="4" a="1"/>
  <c r="Y8" i="4" s="1"/>
  <c r="X7" i="4" a="1"/>
  <c r="X7" i="4" s="1"/>
  <c r="AH7" i="4" a="1"/>
  <c r="AH7" i="4" s="1"/>
  <c r="AG7" i="4" a="1"/>
  <c r="AG7" i="4" s="1"/>
  <c r="AF7" i="4" a="1"/>
  <c r="AF7" i="4" s="1"/>
  <c r="AE7" i="4" a="1"/>
  <c r="AE7" i="4" s="1"/>
  <c r="AD7" i="4" a="1"/>
  <c r="AD7" i="4" s="1"/>
  <c r="AC7" i="4" a="1"/>
  <c r="AC7" i="4" s="1"/>
  <c r="AB7" i="4" a="1"/>
  <c r="AB7" i="4" s="1"/>
  <c r="AA7" i="4" a="1"/>
  <c r="AA7" i="4" s="1"/>
  <c r="Z7" i="4" a="1"/>
  <c r="Z7" i="4" s="1"/>
  <c r="V7" i="4" a="1"/>
  <c r="V7" i="4" s="1"/>
  <c r="U7" i="4" a="1"/>
  <c r="U7" i="4" s="1"/>
  <c r="K7" i="4" s="1"/>
  <c r="Y7" i="4" a="1"/>
  <c r="Y7" i="4" s="1"/>
  <c r="W7" i="4" a="1"/>
  <c r="W7" i="4" s="1"/>
  <c r="X6" i="4" a="1"/>
  <c r="X6" i="4" s="1"/>
  <c r="Y6" i="4" a="1"/>
  <c r="Y6" i="4" s="1"/>
  <c r="Z6" i="4" a="1"/>
  <c r="Z6" i="4" s="1"/>
  <c r="AA6" i="4" a="1"/>
  <c r="AA6" i="4" s="1"/>
  <c r="AB6" i="4" a="1"/>
  <c r="AB6" i="4" s="1"/>
  <c r="AC6" i="4" a="1"/>
  <c r="AC6" i="4" s="1"/>
  <c r="AD6" i="4" a="1"/>
  <c r="AD6" i="4" s="1"/>
  <c r="AE6" i="4" a="1"/>
  <c r="AE6" i="4" s="1"/>
  <c r="AF6" i="4" a="1"/>
  <c r="AF6" i="4" s="1"/>
  <c r="AG6" i="4" a="1"/>
  <c r="AG6" i="4" s="1"/>
  <c r="AH6" i="4" a="1"/>
  <c r="AH6" i="4" s="1"/>
  <c r="W6" i="4" a="1"/>
  <c r="W6" i="4" s="1"/>
  <c r="U6" i="4" a="1"/>
  <c r="U6" i="4" s="1"/>
  <c r="V6" i="4" a="1"/>
  <c r="V6" i="4" s="1"/>
  <c r="U5" i="4" a="1"/>
  <c r="U5" i="4" s="1"/>
  <c r="AH5" i="4" a="1"/>
  <c r="AH5" i="4" s="1"/>
  <c r="AG5" i="4" a="1"/>
  <c r="AG5" i="4" s="1"/>
  <c r="AF5" i="4" a="1"/>
  <c r="AF5" i="4" s="1"/>
  <c r="AE5" i="4" a="1"/>
  <c r="AE5" i="4" s="1"/>
  <c r="AD5" i="4" a="1"/>
  <c r="AD5" i="4" s="1"/>
  <c r="AC5" i="4" a="1"/>
  <c r="AC5" i="4" s="1"/>
  <c r="AB5" i="4" a="1"/>
  <c r="AB5" i="4" s="1"/>
  <c r="AA5" i="4" a="1"/>
  <c r="AA5" i="4" s="1"/>
  <c r="Z5" i="4" a="1"/>
  <c r="Z5" i="4" s="1"/>
  <c r="Y5" i="4" a="1"/>
  <c r="Y5" i="4" s="1"/>
  <c r="X5" i="4" a="1"/>
  <c r="X5" i="4" s="1"/>
  <c r="W5" i="4" a="1"/>
  <c r="W5" i="4" s="1"/>
  <c r="V5" i="4" a="1"/>
  <c r="V5" i="4" s="1"/>
  <c r="AF4" i="4" a="1"/>
  <c r="AF4" i="4" s="1"/>
  <c r="AH4" i="4" a="1"/>
  <c r="AH4" i="4" s="1"/>
  <c r="AG4" i="4" a="1"/>
  <c r="AG4" i="4" s="1"/>
  <c r="AE4" i="4" a="1"/>
  <c r="AE4" i="4" s="1"/>
  <c r="AD4" i="4" a="1"/>
  <c r="AD4" i="4" s="1"/>
  <c r="AC4" i="4" a="1"/>
  <c r="AC4" i="4" s="1"/>
  <c r="AB4" i="4" a="1"/>
  <c r="AB4" i="4" s="1"/>
  <c r="AA4" i="4" a="1"/>
  <c r="AA4" i="4" s="1"/>
  <c r="Z4" i="4" a="1"/>
  <c r="Z4" i="4" s="1"/>
  <c r="Y4" i="4" a="1"/>
  <c r="Y4" i="4" s="1"/>
  <c r="X4" i="4" a="1"/>
  <c r="X4" i="4" s="1"/>
  <c r="W4" i="4" a="1"/>
  <c r="W4" i="4" s="1"/>
  <c r="V4" i="4" a="1"/>
  <c r="V4" i="4" s="1"/>
  <c r="U4" i="4" a="1"/>
  <c r="U4" i="4" s="1"/>
  <c r="V3" i="4" a="1"/>
  <c r="V3" i="4" s="1"/>
  <c r="AG3" i="4" a="1"/>
  <c r="AG3" i="4" s="1"/>
  <c r="AH3" i="4" a="1"/>
  <c r="AH3" i="4" s="1"/>
  <c r="AF3" i="4" a="1"/>
  <c r="AF3" i="4" s="1"/>
  <c r="AE3" i="4" a="1"/>
  <c r="AE3" i="4" s="1"/>
  <c r="AD3" i="4" a="1"/>
  <c r="AD3" i="4" s="1"/>
  <c r="AC3" i="4" a="1"/>
  <c r="AC3" i="4" s="1"/>
  <c r="AB3" i="4" a="1"/>
  <c r="AB3" i="4" s="1"/>
  <c r="AA3" i="4" a="1"/>
  <c r="AA3" i="4" s="1"/>
  <c r="Z3" i="4" a="1"/>
  <c r="Z3" i="4" s="1"/>
  <c r="Y3" i="4" a="1"/>
  <c r="Y3" i="4" s="1"/>
  <c r="W3" i="4" a="1"/>
  <c r="W3" i="4" s="1"/>
  <c r="X3" i="4" a="1"/>
  <c r="X3" i="4" s="1"/>
  <c r="U3" i="4" a="1"/>
  <c r="U3" i="4" s="1"/>
  <c r="AH2" i="4" a="1"/>
  <c r="AH2" i="4" s="1"/>
  <c r="AG2" i="4" a="1"/>
  <c r="AG2" i="4" s="1"/>
  <c r="AE2" i="4" a="1"/>
  <c r="AE2" i="4" s="1"/>
  <c r="AD2" i="4" a="1"/>
  <c r="AD2" i="4" s="1"/>
  <c r="AC2" i="4" a="1"/>
  <c r="AC2" i="4" s="1"/>
  <c r="U2" i="4" a="1"/>
  <c r="U2" i="4" s="1"/>
  <c r="V2" i="4" a="1"/>
  <c r="V2" i="4" s="1"/>
  <c r="W2" i="4" a="1"/>
  <c r="W2" i="4" s="1"/>
  <c r="X2" i="4" a="1"/>
  <c r="X2" i="4" s="1"/>
  <c r="Y2" i="4" a="1"/>
  <c r="Y2" i="4" s="1"/>
  <c r="Z2" i="4" a="1"/>
  <c r="Z2" i="4" s="1"/>
  <c r="AA2" i="4" a="1"/>
  <c r="AA2" i="4" s="1"/>
  <c r="AB2" i="4" a="1"/>
  <c r="AB2" i="4" s="1"/>
  <c r="AF2" i="4" a="1"/>
  <c r="AF2" i="4" s="1"/>
  <c r="AB65" i="3"/>
  <c r="AB64" i="3"/>
  <c r="AB63" i="3"/>
  <c r="AB62" i="3"/>
  <c r="AB61" i="3"/>
  <c r="AB60" i="3"/>
  <c r="AB59" i="3"/>
  <c r="AB58" i="3"/>
  <c r="AB57" i="3"/>
  <c r="AB56" i="3"/>
  <c r="AB55" i="3"/>
  <c r="AB54" i="3"/>
  <c r="AB45" i="3"/>
  <c r="W41" i="3"/>
  <c r="AB41" i="3"/>
  <c r="AB40" i="3"/>
  <c r="AB38" i="3"/>
  <c r="W36" i="3"/>
  <c r="AB36" i="3"/>
  <c r="AB33" i="3"/>
  <c r="AB29" i="3"/>
  <c r="AB12" i="3"/>
  <c r="AB11" i="3"/>
  <c r="AB7" i="3"/>
  <c r="AB3" i="3"/>
  <c r="X53" i="3"/>
  <c r="AB53" i="3"/>
  <c r="AB52" i="3"/>
  <c r="AB51" i="3"/>
  <c r="AB50" i="3"/>
  <c r="AB49" i="3"/>
  <c r="W48" i="3"/>
  <c r="AB48" i="3"/>
  <c r="W47" i="3"/>
  <c r="AB47" i="3"/>
  <c r="W46" i="3"/>
  <c r="AB46" i="3"/>
  <c r="W45" i="3"/>
  <c r="W44" i="3"/>
  <c r="AB44" i="3"/>
  <c r="W43" i="3"/>
  <c r="AB43" i="3"/>
  <c r="W42" i="3"/>
  <c r="AB42" i="3"/>
  <c r="AB39" i="3"/>
  <c r="AB37" i="3"/>
  <c r="AB35" i="3"/>
  <c r="AB34" i="3"/>
  <c r="AB32" i="3"/>
  <c r="AB31" i="3"/>
  <c r="AB30" i="3"/>
  <c r="AB28" i="3"/>
  <c r="AB10" i="3"/>
  <c r="AB8" i="3"/>
  <c r="AB6" i="3"/>
  <c r="AB5" i="3"/>
  <c r="AB4" i="3"/>
  <c r="AB27" i="3"/>
  <c r="AB26" i="3"/>
  <c r="Y25" i="3"/>
  <c r="AA25" i="3"/>
  <c r="Z25" i="3"/>
  <c r="AB25" i="3"/>
  <c r="Y24" i="3"/>
  <c r="AA24" i="3"/>
  <c r="Z24" i="3"/>
  <c r="AB24" i="3"/>
  <c r="Y23" i="3"/>
  <c r="AA23" i="3"/>
  <c r="Z23" i="3"/>
  <c r="AB23" i="3"/>
  <c r="Y22" i="3"/>
  <c r="AA22" i="3"/>
  <c r="AB22" i="3"/>
  <c r="AB21" i="3"/>
  <c r="AB20" i="3"/>
  <c r="AB19" i="3"/>
  <c r="AB18" i="3"/>
  <c r="AB17" i="3"/>
  <c r="AB16" i="3"/>
  <c r="AB15" i="3"/>
  <c r="AB14" i="3"/>
  <c r="AC14" i="3" s="1"/>
  <c r="AH14" i="3" s="1"/>
  <c r="AB13" i="3"/>
  <c r="AC10" i="3"/>
  <c r="AH10" i="3" s="1"/>
  <c r="AB9" i="3"/>
  <c r="AC6" i="3"/>
  <c r="AH6" i="3" s="1"/>
  <c r="AC65" i="3" l="1"/>
  <c r="AH65" i="3" s="1"/>
  <c r="AC2" i="3"/>
  <c r="AH2" i="3" s="1"/>
  <c r="AC53" i="3"/>
  <c r="AH53" i="3" s="1"/>
  <c r="L64" i="4"/>
  <c r="K64" i="4"/>
  <c r="L63" i="4"/>
  <c r="K63" i="4"/>
  <c r="L62" i="4"/>
  <c r="K62" i="4"/>
  <c r="L61" i="4"/>
  <c r="K61" i="4"/>
  <c r="L60" i="4"/>
  <c r="K60" i="4"/>
  <c r="K59" i="4"/>
  <c r="L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L30" i="4"/>
  <c r="K19" i="4"/>
  <c r="L18" i="4"/>
  <c r="K18" i="4"/>
  <c r="L16" i="4"/>
  <c r="L14" i="4"/>
  <c r="K47" i="4"/>
  <c r="L46" i="4"/>
  <c r="K46" i="4"/>
  <c r="L45" i="4"/>
  <c r="K45" i="4"/>
  <c r="K44" i="4"/>
  <c r="L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K31" i="4"/>
  <c r="L31" i="4"/>
  <c r="K30" i="4"/>
  <c r="L20" i="4"/>
  <c r="K20" i="4"/>
  <c r="L19" i="4"/>
  <c r="L17" i="4"/>
  <c r="K17" i="4"/>
  <c r="K16" i="4"/>
  <c r="L15" i="4"/>
  <c r="K15" i="4"/>
  <c r="L13" i="4"/>
  <c r="K13" i="4"/>
  <c r="L29" i="4"/>
  <c r="K29" i="4"/>
  <c r="K28" i="4"/>
  <c r="L28" i="4"/>
  <c r="L27" i="4"/>
  <c r="K27" i="4"/>
  <c r="L26" i="4"/>
  <c r="K26" i="4"/>
  <c r="L25" i="4"/>
  <c r="K25" i="4"/>
  <c r="L24" i="4"/>
  <c r="K24" i="4"/>
  <c r="K23" i="4"/>
  <c r="L23" i="4"/>
  <c r="L22" i="4"/>
  <c r="K22" i="4"/>
  <c r="L21" i="4"/>
  <c r="L12" i="4"/>
  <c r="K12" i="4"/>
  <c r="L11" i="4"/>
  <c r="K11" i="4"/>
  <c r="L10" i="4"/>
  <c r="K10" i="4"/>
  <c r="L9" i="4"/>
  <c r="K9" i="4"/>
  <c r="L8" i="4"/>
  <c r="K8" i="4"/>
  <c r="L6" i="4"/>
  <c r="K6" i="4"/>
  <c r="K5" i="4"/>
  <c r="L5" i="4"/>
  <c r="L4" i="4"/>
  <c r="K4" i="4"/>
  <c r="L3" i="4"/>
  <c r="K3" i="4"/>
  <c r="K2" i="4"/>
  <c r="L2" i="4"/>
  <c r="AC34" i="3"/>
  <c r="AH34" i="3" s="1"/>
  <c r="AC45" i="3"/>
  <c r="AH45" i="3" s="1"/>
  <c r="AC37" i="3"/>
  <c r="AH37" i="3" s="1"/>
  <c r="AC38" i="3"/>
  <c r="AH38" i="3" s="1"/>
  <c r="AC39" i="3"/>
  <c r="AH39" i="3" s="1"/>
  <c r="AC42" i="3"/>
  <c r="AH42" i="3" s="1"/>
  <c r="AC43" i="3"/>
  <c r="AH43" i="3" s="1"/>
  <c r="AC7" i="3"/>
  <c r="AH7" i="3" s="1"/>
  <c r="AC28" i="3"/>
  <c r="AH28" i="3" s="1"/>
  <c r="AC30" i="3"/>
  <c r="AH30" i="3" s="1"/>
  <c r="AC31" i="3"/>
  <c r="AH31" i="3" s="1"/>
  <c r="AC32" i="3"/>
  <c r="AH32" i="3" s="1"/>
  <c r="AC44" i="3"/>
  <c r="AH44" i="3" s="1"/>
  <c r="L7" i="4"/>
  <c r="AC64" i="3"/>
  <c r="AH64" i="3" s="1"/>
  <c r="AC63" i="3"/>
  <c r="AH63" i="3" s="1"/>
  <c r="AC62" i="3"/>
  <c r="AH62" i="3" s="1"/>
  <c r="AC61" i="3"/>
  <c r="AH61" i="3" s="1"/>
  <c r="AC60" i="3"/>
  <c r="AH60" i="3" s="1"/>
  <c r="AC59" i="3"/>
  <c r="AH59" i="3" s="1"/>
  <c r="AC58" i="3"/>
  <c r="AH58" i="3" s="1"/>
  <c r="AC57" i="3"/>
  <c r="AH57" i="3" s="1"/>
  <c r="AC56" i="3"/>
  <c r="AH56" i="3" s="1"/>
  <c r="AC55" i="3"/>
  <c r="AH55" i="3" s="1"/>
  <c r="AC54" i="3"/>
  <c r="AH54" i="3" s="1"/>
  <c r="AC35" i="3"/>
  <c r="AH35" i="3" s="1"/>
  <c r="AC46" i="3"/>
  <c r="AH46" i="3" s="1"/>
  <c r="AC52" i="3"/>
  <c r="AH52" i="3" s="1"/>
  <c r="AC51" i="3"/>
  <c r="AH51" i="3" s="1"/>
  <c r="AC50" i="3"/>
  <c r="AH50" i="3" s="1"/>
  <c r="AC49" i="3"/>
  <c r="AH49" i="3" s="1"/>
  <c r="AC48" i="3"/>
  <c r="AH48" i="3" s="1"/>
  <c r="AC47" i="3"/>
  <c r="AH47" i="3" s="1"/>
  <c r="AC5" i="3"/>
  <c r="AH5" i="3" s="1"/>
  <c r="AC29" i="3"/>
  <c r="AH29" i="3" s="1"/>
  <c r="AC23" i="3"/>
  <c r="AH23" i="3" s="1"/>
  <c r="AC8" i="3"/>
  <c r="AH8" i="3" s="1"/>
  <c r="AC9" i="3"/>
  <c r="AH9" i="3" s="1"/>
  <c r="AC12" i="3"/>
  <c r="AH12" i="3" s="1"/>
  <c r="AC24" i="3"/>
  <c r="AH24" i="3" s="1"/>
  <c r="AC25" i="3"/>
  <c r="AH25" i="3" s="1"/>
  <c r="AC26" i="3"/>
  <c r="AH26" i="3" s="1"/>
  <c r="AC27" i="3"/>
  <c r="AH27" i="3" s="1"/>
  <c r="AC3" i="3"/>
  <c r="AH3" i="3" s="1"/>
  <c r="AC4" i="3"/>
  <c r="AH4" i="3" s="1"/>
  <c r="AC41" i="3"/>
  <c r="AH41" i="3" s="1"/>
  <c r="AC40" i="3"/>
  <c r="AH40" i="3" s="1"/>
  <c r="AC36" i="3"/>
  <c r="AH36" i="3" s="1"/>
  <c r="AC33" i="3"/>
  <c r="AH33" i="3" s="1"/>
  <c r="AC13" i="3"/>
  <c r="AH13" i="3" s="1"/>
  <c r="AC22" i="3"/>
  <c r="AH22" i="3" s="1"/>
  <c r="AC20" i="3"/>
  <c r="AH20" i="3" s="1"/>
  <c r="AC18" i="3"/>
  <c r="AH18" i="3" s="1"/>
  <c r="AC16" i="3"/>
  <c r="AH16" i="3" s="1"/>
  <c r="AC21" i="3"/>
  <c r="AH21" i="3" s="1"/>
  <c r="AC19" i="3"/>
  <c r="AH19" i="3" s="1"/>
  <c r="AC17" i="3"/>
  <c r="AH17" i="3" s="1"/>
  <c r="AC15" i="3"/>
  <c r="AH15" i="3" s="1"/>
  <c r="AC11" i="3"/>
  <c r="AH11" i="3" s="1"/>
  <c r="AI64" i="4" l="1"/>
  <c r="M64" i="4"/>
  <c r="AI63" i="4"/>
  <c r="M63" i="4"/>
  <c r="AI62" i="4"/>
  <c r="M62" i="4"/>
  <c r="AI61" i="4"/>
  <c r="M61" i="4"/>
  <c r="AI60" i="4"/>
  <c r="M60" i="4"/>
  <c r="AI59" i="4"/>
  <c r="M59" i="4"/>
  <c r="AI58" i="4"/>
  <c r="M58" i="4"/>
  <c r="AI57" i="4"/>
  <c r="M57" i="4"/>
  <c r="AI56" i="4"/>
  <c r="M56" i="4"/>
  <c r="AI55" i="4"/>
  <c r="M55" i="4"/>
  <c r="AI54" i="4"/>
  <c r="M54" i="4"/>
  <c r="AI53" i="4"/>
  <c r="M53" i="4"/>
  <c r="AI52" i="4"/>
  <c r="M52" i="4"/>
  <c r="AI51" i="4"/>
  <c r="M51" i="4"/>
  <c r="AI50" i="4"/>
  <c r="M50" i="4"/>
  <c r="AI49" i="4"/>
  <c r="M49" i="4"/>
  <c r="AI48" i="4"/>
  <c r="M48" i="4"/>
  <c r="AI19" i="4"/>
  <c r="M19" i="4"/>
  <c r="AI18" i="4"/>
  <c r="M18" i="4"/>
  <c r="AI47" i="4"/>
  <c r="M47" i="4"/>
  <c r="AI46" i="4"/>
  <c r="M46" i="4"/>
  <c r="AI45" i="4"/>
  <c r="M45" i="4"/>
  <c r="AI44" i="4"/>
  <c r="M44" i="4"/>
  <c r="AI43" i="4"/>
  <c r="M43" i="4"/>
  <c r="AI42" i="4"/>
  <c r="M42" i="4"/>
  <c r="AI41" i="4"/>
  <c r="M41" i="4"/>
  <c r="AI40" i="4"/>
  <c r="M40" i="4"/>
  <c r="AI39" i="4"/>
  <c r="M39" i="4"/>
  <c r="AI38" i="4"/>
  <c r="M38" i="4"/>
  <c r="AI37" i="4"/>
  <c r="M37" i="4"/>
  <c r="AI36" i="4"/>
  <c r="M36" i="4"/>
  <c r="AI35" i="4"/>
  <c r="M35" i="4"/>
  <c r="AI34" i="4"/>
  <c r="M34" i="4"/>
  <c r="AI33" i="4"/>
  <c r="M33" i="4"/>
  <c r="AI32" i="4"/>
  <c r="M32" i="4"/>
  <c r="AI31" i="4"/>
  <c r="M31" i="4"/>
  <c r="AI30" i="4"/>
  <c r="M30" i="4"/>
  <c r="AI20" i="4"/>
  <c r="M20" i="4"/>
  <c r="AI17" i="4"/>
  <c r="M17" i="4"/>
  <c r="AI16" i="4"/>
  <c r="M16" i="4"/>
  <c r="AI15" i="4"/>
  <c r="M15" i="4"/>
  <c r="AI13" i="4"/>
  <c r="M13" i="4"/>
  <c r="AI29" i="4"/>
  <c r="M29" i="4"/>
  <c r="AI28" i="4"/>
  <c r="M28" i="4"/>
  <c r="AI27" i="4"/>
  <c r="M27" i="4"/>
  <c r="AI26" i="4"/>
  <c r="M26" i="4"/>
  <c r="AI25" i="4"/>
  <c r="M25" i="4"/>
  <c r="AI24" i="4"/>
  <c r="M24" i="4"/>
  <c r="AI23" i="4"/>
  <c r="M23" i="4"/>
  <c r="AI22" i="4"/>
  <c r="M22" i="4"/>
  <c r="AI12" i="4"/>
  <c r="M12" i="4"/>
  <c r="AI11" i="4"/>
  <c r="M11" i="4"/>
  <c r="AI10" i="4"/>
  <c r="M10" i="4"/>
  <c r="AI9" i="4"/>
  <c r="M9" i="4"/>
  <c r="AI8" i="4"/>
  <c r="M8" i="4"/>
  <c r="AI6" i="4"/>
  <c r="M6" i="4"/>
  <c r="AI5" i="4"/>
  <c r="M5" i="4"/>
  <c r="AI4" i="4"/>
  <c r="M4" i="4"/>
  <c r="AI3" i="4"/>
  <c r="M3" i="4"/>
  <c r="AI2" i="4"/>
  <c r="M2" i="4"/>
  <c r="M14" i="4"/>
  <c r="AI14" i="4"/>
  <c r="M21" i="4"/>
  <c r="AI21" i="4"/>
  <c r="M7" i="4"/>
  <c r="AI7" i="4"/>
  <c r="T64" i="4" l="1"/>
  <c r="N64" i="4"/>
  <c r="O64" i="4"/>
  <c r="T63" i="4"/>
  <c r="N63" i="4"/>
  <c r="O63" i="4"/>
  <c r="T62" i="4"/>
  <c r="N62" i="4"/>
  <c r="O62" i="4"/>
  <c r="T61" i="4"/>
  <c r="N61" i="4"/>
  <c r="O61" i="4"/>
  <c r="T60" i="4"/>
  <c r="N60" i="4"/>
  <c r="O60" i="4"/>
  <c r="T59" i="4"/>
  <c r="N59" i="4"/>
  <c r="O59" i="4"/>
  <c r="T58" i="4"/>
  <c r="N58" i="4"/>
  <c r="O58" i="4"/>
  <c r="T57" i="4"/>
  <c r="N57" i="4"/>
  <c r="O57" i="4"/>
  <c r="T56" i="4"/>
  <c r="N56" i="4"/>
  <c r="O56" i="4"/>
  <c r="T55" i="4"/>
  <c r="N55" i="4"/>
  <c r="O55" i="4"/>
  <c r="T54" i="4"/>
  <c r="N54" i="4"/>
  <c r="O54" i="4"/>
  <c r="T53" i="4"/>
  <c r="N53" i="4"/>
  <c r="O53" i="4"/>
  <c r="T52" i="4"/>
  <c r="N52" i="4"/>
  <c r="O52" i="4"/>
  <c r="T51" i="4"/>
  <c r="N51" i="4"/>
  <c r="O51" i="4"/>
  <c r="T50" i="4"/>
  <c r="N50" i="4"/>
  <c r="O50" i="4"/>
  <c r="T49" i="4"/>
  <c r="N49" i="4"/>
  <c r="O49" i="4"/>
  <c r="T48" i="4"/>
  <c r="N48" i="4"/>
  <c r="O48" i="4"/>
  <c r="T19" i="4"/>
  <c r="N19" i="4"/>
  <c r="O19" i="4"/>
  <c r="T18" i="4"/>
  <c r="N18" i="4"/>
  <c r="O18" i="4"/>
  <c r="T47" i="4"/>
  <c r="N47" i="4"/>
  <c r="O47" i="4"/>
  <c r="T46" i="4"/>
  <c r="N46" i="4"/>
  <c r="O46" i="4"/>
  <c r="T45" i="4"/>
  <c r="N45" i="4"/>
  <c r="O45" i="4"/>
  <c r="T44" i="4"/>
  <c r="N44" i="4"/>
  <c r="O44" i="4"/>
  <c r="T43" i="4"/>
  <c r="N43" i="4"/>
  <c r="O43" i="4"/>
  <c r="T42" i="4"/>
  <c r="N42" i="4"/>
  <c r="O42" i="4"/>
  <c r="T41" i="4"/>
  <c r="N41" i="4"/>
  <c r="O41" i="4"/>
  <c r="T40" i="4"/>
  <c r="N40" i="4"/>
  <c r="O40" i="4"/>
  <c r="T39" i="4"/>
  <c r="N39" i="4"/>
  <c r="O39" i="4"/>
  <c r="T38" i="4"/>
  <c r="N38" i="4"/>
  <c r="O38" i="4"/>
  <c r="T37" i="4"/>
  <c r="N37" i="4"/>
  <c r="O37" i="4"/>
  <c r="T36" i="4"/>
  <c r="N36" i="4"/>
  <c r="O36" i="4"/>
  <c r="T35" i="4"/>
  <c r="N35" i="4"/>
  <c r="O35" i="4"/>
  <c r="T34" i="4"/>
  <c r="N34" i="4"/>
  <c r="O34" i="4"/>
  <c r="T33" i="4"/>
  <c r="N33" i="4"/>
  <c r="O33" i="4"/>
  <c r="T32" i="4"/>
  <c r="N32" i="4"/>
  <c r="O32" i="4"/>
  <c r="T31" i="4"/>
  <c r="N31" i="4"/>
  <c r="O31" i="4"/>
  <c r="T30" i="4"/>
  <c r="N30" i="4"/>
  <c r="O30" i="4"/>
  <c r="T20" i="4"/>
  <c r="N20" i="4"/>
  <c r="O20" i="4"/>
  <c r="T17" i="4"/>
  <c r="N17" i="4"/>
  <c r="O17" i="4"/>
  <c r="T16" i="4"/>
  <c r="N16" i="4"/>
  <c r="O16" i="4"/>
  <c r="T15" i="4"/>
  <c r="N15" i="4"/>
  <c r="O15" i="4"/>
  <c r="T13" i="4"/>
  <c r="N13" i="4"/>
  <c r="O13" i="4"/>
  <c r="T29" i="4"/>
  <c r="N29" i="4"/>
  <c r="O29" i="4"/>
  <c r="T28" i="4"/>
  <c r="N28" i="4"/>
  <c r="O28" i="4"/>
  <c r="T27" i="4"/>
  <c r="N27" i="4"/>
  <c r="O27" i="4"/>
  <c r="T26" i="4"/>
  <c r="N26" i="4"/>
  <c r="O26" i="4"/>
  <c r="T25" i="4"/>
  <c r="N25" i="4"/>
  <c r="O25" i="4"/>
  <c r="T24" i="4"/>
  <c r="N24" i="4"/>
  <c r="O24" i="4"/>
  <c r="T23" i="4"/>
  <c r="N23" i="4"/>
  <c r="O23" i="4"/>
  <c r="T22" i="4"/>
  <c r="N22" i="4"/>
  <c r="O22" i="4"/>
  <c r="T12" i="4"/>
  <c r="N12" i="4"/>
  <c r="O12" i="4"/>
  <c r="T11" i="4"/>
  <c r="N11" i="4"/>
  <c r="O11" i="4"/>
  <c r="T10" i="4"/>
  <c r="N10" i="4"/>
  <c r="O10" i="4"/>
  <c r="T9" i="4"/>
  <c r="N9" i="4"/>
  <c r="O9" i="4"/>
  <c r="T8" i="4"/>
  <c r="N8" i="4"/>
  <c r="O8" i="4"/>
  <c r="T6" i="4"/>
  <c r="N6" i="4"/>
  <c r="O6" i="4"/>
  <c r="T5" i="4"/>
  <c r="N5" i="4"/>
  <c r="O5" i="4"/>
  <c r="T4" i="4"/>
  <c r="N4" i="4"/>
  <c r="O4" i="4"/>
  <c r="T3" i="4"/>
  <c r="N3" i="4"/>
  <c r="O3" i="4"/>
  <c r="T2" i="4"/>
  <c r="N2" i="4"/>
  <c r="O2" i="4"/>
  <c r="O14" i="4"/>
  <c r="N14" i="4"/>
  <c r="T14" i="4"/>
  <c r="O21" i="4"/>
  <c r="N21" i="4"/>
  <c r="T21" i="4"/>
  <c r="O7" i="4"/>
  <c r="N7" i="4"/>
  <c r="T7" i="4"/>
  <c r="P64" i="4" l="1"/>
  <c r="AK64" i="4"/>
  <c r="P63" i="4"/>
  <c r="AK63" i="4"/>
  <c r="P62" i="4"/>
  <c r="AK62" i="4"/>
  <c r="P61" i="4"/>
  <c r="AK61" i="4"/>
  <c r="P60" i="4"/>
  <c r="AK60" i="4"/>
  <c r="P59" i="4"/>
  <c r="AK59" i="4"/>
  <c r="P58" i="4"/>
  <c r="AK58" i="4"/>
  <c r="P57" i="4"/>
  <c r="AK57" i="4"/>
  <c r="P56" i="4"/>
  <c r="AK56" i="4"/>
  <c r="P55" i="4"/>
  <c r="AK55" i="4"/>
  <c r="P54" i="4"/>
  <c r="AK54" i="4"/>
  <c r="P53" i="4"/>
  <c r="AK53" i="4"/>
  <c r="P52" i="4"/>
  <c r="AK52" i="4"/>
  <c r="P51" i="4"/>
  <c r="AK51" i="4"/>
  <c r="P50" i="4"/>
  <c r="AK50" i="4"/>
  <c r="P49" i="4"/>
  <c r="AK49" i="4"/>
  <c r="P48" i="4"/>
  <c r="AK48" i="4"/>
  <c r="AK36" i="3" a="1"/>
  <c r="AK36" i="3" s="1"/>
  <c r="AK32" i="3" a="1"/>
  <c r="AK32" i="3" s="1"/>
  <c r="P19" i="4"/>
  <c r="AK19" i="4"/>
  <c r="AI32" i="3" a="1"/>
  <c r="AI32" i="3" s="1"/>
  <c r="AM32" i="3" s="1"/>
  <c r="AI36" i="3" a="1"/>
  <c r="AI36" i="3" s="1"/>
  <c r="AM36" i="3" s="1"/>
  <c r="AJ32" i="3" a="1"/>
  <c r="AJ32" i="3" s="1"/>
  <c r="AJ36" i="3" a="1"/>
  <c r="AJ36" i="3" s="1"/>
  <c r="AK64" i="3" a="1"/>
  <c r="AK64" i="3" s="1"/>
  <c r="AK4" i="3" a="1"/>
  <c r="AK4" i="3" s="1"/>
  <c r="P18" i="4"/>
  <c r="AK18" i="4"/>
  <c r="AI4" i="3" a="1"/>
  <c r="AI4" i="3" s="1"/>
  <c r="AM4" i="3" s="1"/>
  <c r="AI64" i="3" a="1"/>
  <c r="AI64" i="3" s="1"/>
  <c r="AM64" i="3" s="1"/>
  <c r="AJ4" i="3" a="1"/>
  <c r="AJ4" i="3" s="1"/>
  <c r="AJ64" i="3" a="1"/>
  <c r="AJ64" i="3" s="1"/>
  <c r="P47" i="4"/>
  <c r="AK47" i="4"/>
  <c r="P46" i="4"/>
  <c r="AK46" i="4"/>
  <c r="P45" i="4"/>
  <c r="AK45" i="4"/>
  <c r="P44" i="4"/>
  <c r="AK44" i="4"/>
  <c r="P43" i="4"/>
  <c r="AK43" i="4"/>
  <c r="P42" i="4"/>
  <c r="AK42" i="4"/>
  <c r="P41" i="4"/>
  <c r="AK41" i="4"/>
  <c r="P40" i="4"/>
  <c r="AK40" i="4"/>
  <c r="P39" i="4"/>
  <c r="AK39" i="4"/>
  <c r="P38" i="4"/>
  <c r="AK38" i="4"/>
  <c r="P37" i="4"/>
  <c r="AK37" i="4"/>
  <c r="P36" i="4"/>
  <c r="AK36" i="4"/>
  <c r="P35" i="4"/>
  <c r="AK35" i="4"/>
  <c r="P34" i="4"/>
  <c r="AK34" i="4"/>
  <c r="AK59" i="3" a="1"/>
  <c r="AK59" i="3" s="1"/>
  <c r="AK7" i="3" a="1"/>
  <c r="AK7" i="3" s="1"/>
  <c r="P33" i="4"/>
  <c r="AK33" i="4"/>
  <c r="AI7" i="3" a="1"/>
  <c r="AI7" i="3" s="1"/>
  <c r="AM7" i="3" s="1"/>
  <c r="AI59" i="3" a="1"/>
  <c r="AI59" i="3" s="1"/>
  <c r="AM59" i="3" s="1"/>
  <c r="AJ7" i="3" a="1"/>
  <c r="AJ7" i="3" s="1"/>
  <c r="AJ59" i="3" a="1"/>
  <c r="AJ59" i="3" s="1"/>
  <c r="AK39" i="3" a="1"/>
  <c r="AK39" i="3" s="1"/>
  <c r="AK27" i="3" a="1"/>
  <c r="AK27" i="3" s="1"/>
  <c r="P32" i="4"/>
  <c r="AK32" i="4"/>
  <c r="AI27" i="3" a="1"/>
  <c r="AI27" i="3" s="1"/>
  <c r="AM27" i="3" s="1"/>
  <c r="AI39" i="3" a="1"/>
  <c r="AI39" i="3" s="1"/>
  <c r="AM39" i="3" s="1"/>
  <c r="AJ27" i="3" a="1"/>
  <c r="AJ27" i="3" s="1"/>
  <c r="AJ39" i="3" a="1"/>
  <c r="AJ39" i="3" s="1"/>
  <c r="AK55" i="3" a="1"/>
  <c r="AK55" i="3" s="1"/>
  <c r="AK11" i="3" a="1"/>
  <c r="AK11" i="3" s="1"/>
  <c r="P31" i="4"/>
  <c r="AK31" i="4"/>
  <c r="AI11" i="3" a="1"/>
  <c r="AI11" i="3" s="1"/>
  <c r="AM11" i="3" s="1"/>
  <c r="AI55" i="3" a="1"/>
  <c r="AI55" i="3" s="1"/>
  <c r="AM55" i="3" s="1"/>
  <c r="AJ11" i="3" a="1"/>
  <c r="AJ11" i="3" s="1"/>
  <c r="AJ55" i="3" a="1"/>
  <c r="AJ55" i="3" s="1"/>
  <c r="AK43" i="3" a="1"/>
  <c r="AK43" i="3" s="1"/>
  <c r="AK23" i="3" a="1"/>
  <c r="AK23" i="3" s="1"/>
  <c r="P30" i="4"/>
  <c r="AK30" i="4"/>
  <c r="AI23" i="3" a="1"/>
  <c r="AI23" i="3" s="1"/>
  <c r="AM23" i="3" s="1"/>
  <c r="AI43" i="3" a="1"/>
  <c r="AI43" i="3" s="1"/>
  <c r="AM43" i="3" s="1"/>
  <c r="AJ23" i="3" a="1"/>
  <c r="AJ23" i="3" s="1"/>
  <c r="AJ43" i="3" a="1"/>
  <c r="AJ43" i="3" s="1"/>
  <c r="AK48" i="3" a="1"/>
  <c r="AK48" i="3" s="1"/>
  <c r="AK20" i="3" a="1"/>
  <c r="AK20" i="3" s="1"/>
  <c r="P20" i="4"/>
  <c r="AK20" i="4"/>
  <c r="AI20" i="3" a="1"/>
  <c r="AI20" i="3" s="1"/>
  <c r="AM20" i="3" s="1"/>
  <c r="AI48" i="3" a="1"/>
  <c r="AI48" i="3" s="1"/>
  <c r="AM48" i="3" s="1"/>
  <c r="AJ20" i="3" a="1"/>
  <c r="AJ20" i="3" s="1"/>
  <c r="AJ48" i="3" a="1"/>
  <c r="AJ48" i="3" s="1"/>
  <c r="AK61" i="3" a="1"/>
  <c r="AK61" i="3" s="1"/>
  <c r="AK9" i="3" a="1"/>
  <c r="AK9" i="3" s="1"/>
  <c r="P17" i="4"/>
  <c r="AK17" i="4"/>
  <c r="AI9" i="3" a="1"/>
  <c r="AI9" i="3" s="1"/>
  <c r="AM9" i="3" s="1"/>
  <c r="AI61" i="3" a="1"/>
  <c r="AI61" i="3" s="1"/>
  <c r="AM61" i="3" s="1"/>
  <c r="AJ9" i="3" a="1"/>
  <c r="AJ9" i="3" s="1"/>
  <c r="AJ61" i="3" a="1"/>
  <c r="AJ61" i="3" s="1"/>
  <c r="AK41" i="3" a="1"/>
  <c r="AK41" i="3" s="1"/>
  <c r="AK29" i="3" a="1"/>
  <c r="AK29" i="3" s="1"/>
  <c r="P16" i="4"/>
  <c r="AK16" i="4"/>
  <c r="AI29" i="3" a="1"/>
  <c r="AI29" i="3" s="1"/>
  <c r="AM29" i="3" s="1"/>
  <c r="AI41" i="3" a="1"/>
  <c r="AI41" i="3" s="1"/>
  <c r="AM41" i="3" s="1"/>
  <c r="AJ29" i="3" a="1"/>
  <c r="AJ29" i="3" s="1"/>
  <c r="AJ41" i="3" a="1"/>
  <c r="AJ41" i="3" s="1"/>
  <c r="AK57" i="3" a="1"/>
  <c r="AK57" i="3" s="1"/>
  <c r="AK13" i="3" a="1"/>
  <c r="AK13" i="3" s="1"/>
  <c r="P15" i="4"/>
  <c r="AK15" i="4"/>
  <c r="AI13" i="3" a="1"/>
  <c r="AI13" i="3" s="1"/>
  <c r="AM13" i="3" s="1"/>
  <c r="AI57" i="3" a="1"/>
  <c r="AI57" i="3" s="1"/>
  <c r="AM57" i="3" s="1"/>
  <c r="AJ13" i="3" a="1"/>
  <c r="AJ13" i="3" s="1"/>
  <c r="AJ57" i="3" a="1"/>
  <c r="AJ57" i="3" s="1"/>
  <c r="AK53" i="3" a="1"/>
  <c r="AK53" i="3" s="1"/>
  <c r="AK17" i="3" a="1"/>
  <c r="AK17" i="3" s="1"/>
  <c r="P13" i="4"/>
  <c r="AK13" i="4"/>
  <c r="AI17" i="3" a="1"/>
  <c r="AI17" i="3" s="1"/>
  <c r="AM17" i="3" s="1"/>
  <c r="AI53" i="3" a="1"/>
  <c r="AI53" i="3" s="1"/>
  <c r="AM53" i="3" s="1"/>
  <c r="AJ17" i="3" a="1"/>
  <c r="AJ17" i="3" s="1"/>
  <c r="AJ53" i="3" a="1"/>
  <c r="AJ53" i="3" s="1"/>
  <c r="AK51" i="3" a="1"/>
  <c r="AK51" i="3" s="1"/>
  <c r="AK15" i="3" a="1"/>
  <c r="AK15" i="3" s="1"/>
  <c r="P29" i="4"/>
  <c r="AK29" i="4"/>
  <c r="AI15" i="3" a="1"/>
  <c r="AI15" i="3" s="1"/>
  <c r="AM15" i="3" s="1"/>
  <c r="AI51" i="3" a="1"/>
  <c r="AI51" i="3" s="1"/>
  <c r="AM51" i="3" s="1"/>
  <c r="AJ15" i="3" a="1"/>
  <c r="AJ15" i="3" s="1"/>
  <c r="AJ51" i="3" a="1"/>
  <c r="AJ51" i="3" s="1"/>
  <c r="AK47" i="3" a="1"/>
  <c r="AK47" i="3" s="1"/>
  <c r="AK19" i="3" a="1"/>
  <c r="AK19" i="3" s="1"/>
  <c r="P28" i="4"/>
  <c r="AK28" i="4"/>
  <c r="AI19" i="3" a="1"/>
  <c r="AI19" i="3" s="1"/>
  <c r="AM19" i="3" s="1"/>
  <c r="AI47" i="3" a="1"/>
  <c r="AI47" i="3" s="1"/>
  <c r="AM47" i="3" s="1"/>
  <c r="AJ19" i="3" a="1"/>
  <c r="AJ19" i="3" s="1"/>
  <c r="AJ47" i="3" a="1"/>
  <c r="AJ47" i="3" s="1"/>
  <c r="AK35" i="3" a="1"/>
  <c r="AK35" i="3" s="1"/>
  <c r="AK31" i="3" a="1"/>
  <c r="AK31" i="3" s="1"/>
  <c r="P27" i="4"/>
  <c r="AK27" i="4"/>
  <c r="AI31" i="3" a="1"/>
  <c r="AI31" i="3" s="1"/>
  <c r="AM31" i="3" s="1"/>
  <c r="AI35" i="3" a="1"/>
  <c r="AI35" i="3" s="1"/>
  <c r="AM35" i="3" s="1"/>
  <c r="AJ31" i="3" a="1"/>
  <c r="AJ31" i="3" s="1"/>
  <c r="AJ35" i="3" a="1"/>
  <c r="AJ35" i="3" s="1"/>
  <c r="AK63" i="3" a="1"/>
  <c r="AK63" i="3" s="1"/>
  <c r="AK3" i="3" a="1"/>
  <c r="AK3" i="3" s="1"/>
  <c r="P26" i="4"/>
  <c r="AK26" i="4"/>
  <c r="AI3" i="3" a="1"/>
  <c r="AI3" i="3" s="1"/>
  <c r="AM3" i="3" s="1"/>
  <c r="AI63" i="3" a="1"/>
  <c r="AI63" i="3" s="1"/>
  <c r="AM63" i="3" s="1"/>
  <c r="AJ3" i="3" a="1"/>
  <c r="AJ3" i="3" s="1"/>
  <c r="AJ63" i="3" a="1"/>
  <c r="AJ63" i="3" s="1"/>
  <c r="AK60" i="3" a="1"/>
  <c r="AK60" i="3" s="1"/>
  <c r="AK8" i="3" a="1"/>
  <c r="AK8" i="3" s="1"/>
  <c r="P25" i="4"/>
  <c r="AK25" i="4"/>
  <c r="AI8" i="3" a="1"/>
  <c r="AI8" i="3" s="1"/>
  <c r="AM8" i="3" s="1"/>
  <c r="AI60" i="3" a="1"/>
  <c r="AI60" i="3" s="1"/>
  <c r="AM60" i="3" s="1"/>
  <c r="AJ8" i="3" a="1"/>
  <c r="AJ8" i="3" s="1"/>
  <c r="AJ60" i="3" a="1"/>
  <c r="AJ60" i="3" s="1"/>
  <c r="AK40" i="3" a="1"/>
  <c r="AK40" i="3" s="1"/>
  <c r="AK28" i="3" a="1"/>
  <c r="AK28" i="3" s="1"/>
  <c r="P24" i="4"/>
  <c r="AK24" i="4"/>
  <c r="AI28" i="3" a="1"/>
  <c r="AI28" i="3" s="1"/>
  <c r="AM28" i="3" s="1"/>
  <c r="AI40" i="3" a="1"/>
  <c r="AI40" i="3" s="1"/>
  <c r="AM40" i="3" s="1"/>
  <c r="AJ28" i="3" a="1"/>
  <c r="AJ28" i="3" s="1"/>
  <c r="AJ40" i="3" a="1"/>
  <c r="AJ40" i="3" s="1"/>
  <c r="AK56" i="3" a="1"/>
  <c r="AK56" i="3" s="1"/>
  <c r="AK12" i="3" a="1"/>
  <c r="AK12" i="3" s="1"/>
  <c r="P23" i="4"/>
  <c r="AK23" i="4"/>
  <c r="AI12" i="3" a="1"/>
  <c r="AI12" i="3" s="1"/>
  <c r="AM12" i="3" s="1"/>
  <c r="AI56" i="3" a="1"/>
  <c r="AI56" i="3" s="1"/>
  <c r="AM56" i="3" s="1"/>
  <c r="AJ12" i="3" a="1"/>
  <c r="AJ12" i="3" s="1"/>
  <c r="AJ56" i="3" a="1"/>
  <c r="AJ56" i="3" s="1"/>
  <c r="AK44" i="3" a="1"/>
  <c r="AK44" i="3" s="1"/>
  <c r="AK24" i="3" a="1"/>
  <c r="AK24" i="3" s="1"/>
  <c r="P22" i="4"/>
  <c r="AK22" i="4"/>
  <c r="AI24" i="3" a="1"/>
  <c r="AI24" i="3" s="1"/>
  <c r="AM24" i="3" s="1"/>
  <c r="AI44" i="3" a="1"/>
  <c r="AI44" i="3" s="1"/>
  <c r="AM44" i="3" s="1"/>
  <c r="AJ24" i="3" a="1"/>
  <c r="AJ24" i="3" s="1"/>
  <c r="AJ44" i="3" a="1"/>
  <c r="AJ44" i="3" s="1"/>
  <c r="AK49" i="3" a="1"/>
  <c r="AK49" i="3" s="1"/>
  <c r="AK21" i="3" a="1"/>
  <c r="AK21" i="3" s="1"/>
  <c r="P12" i="4"/>
  <c r="AK12" i="4"/>
  <c r="AI21" i="3" a="1"/>
  <c r="AI21" i="3" s="1"/>
  <c r="AM21" i="3" s="1"/>
  <c r="AI49" i="3" a="1"/>
  <c r="AI49" i="3" s="1"/>
  <c r="AM49" i="3" s="1"/>
  <c r="AJ21" i="3" a="1"/>
  <c r="AJ21" i="3" s="1"/>
  <c r="AJ49" i="3" a="1"/>
  <c r="AJ49" i="3" s="1"/>
  <c r="AK37" i="3" a="1"/>
  <c r="AK37" i="3" s="1"/>
  <c r="AK33" i="3" a="1"/>
  <c r="AK33" i="3" s="1"/>
  <c r="P11" i="4"/>
  <c r="AK11" i="4"/>
  <c r="AI33" i="3" a="1"/>
  <c r="AI33" i="3" s="1"/>
  <c r="AM33" i="3" s="1"/>
  <c r="AI37" i="3" a="1"/>
  <c r="AI37" i="3" s="1"/>
  <c r="AM37" i="3" s="1"/>
  <c r="AJ33" i="3" a="1"/>
  <c r="AJ33" i="3" s="1"/>
  <c r="AJ37" i="3" a="1"/>
  <c r="AJ37" i="3" s="1"/>
  <c r="AK65" i="3" a="1"/>
  <c r="AK65" i="3" s="1"/>
  <c r="AK5" i="3" a="1"/>
  <c r="AK5" i="3" s="1"/>
  <c r="P10" i="4"/>
  <c r="AK10" i="4"/>
  <c r="AI5" i="3" a="1"/>
  <c r="AI5" i="3" s="1"/>
  <c r="AM5" i="3" s="1"/>
  <c r="AI65" i="3" a="1"/>
  <c r="AI65" i="3" s="1"/>
  <c r="AM65" i="3" s="1"/>
  <c r="AJ5" i="3" a="1"/>
  <c r="AJ5" i="3" s="1"/>
  <c r="AJ65" i="3" a="1"/>
  <c r="AJ65" i="3" s="1"/>
  <c r="AK58" i="3" a="1"/>
  <c r="AK58" i="3" s="1"/>
  <c r="AK6" i="3" a="1"/>
  <c r="AK6" i="3" s="1"/>
  <c r="P9" i="4"/>
  <c r="AK9" i="4"/>
  <c r="AI6" i="3" a="1"/>
  <c r="AI6" i="3" s="1"/>
  <c r="AM6" i="3" s="1"/>
  <c r="AI58" i="3" a="1"/>
  <c r="AI58" i="3" s="1"/>
  <c r="AM58" i="3" s="1"/>
  <c r="AJ6" i="3" a="1"/>
  <c r="AJ6" i="3" s="1"/>
  <c r="AJ58" i="3" a="1"/>
  <c r="AJ58" i="3" s="1"/>
  <c r="AK38" i="3" a="1"/>
  <c r="AK38" i="3" s="1"/>
  <c r="AK26" i="3" a="1"/>
  <c r="AK26" i="3" s="1"/>
  <c r="P8" i="4"/>
  <c r="AK8" i="4"/>
  <c r="AI26" i="3" a="1"/>
  <c r="AI26" i="3" s="1"/>
  <c r="AM26" i="3" s="1"/>
  <c r="AI38" i="3" a="1"/>
  <c r="AI38" i="3" s="1"/>
  <c r="AM38" i="3" s="1"/>
  <c r="AJ26" i="3" a="1"/>
  <c r="AJ26" i="3" s="1"/>
  <c r="AJ38" i="3" a="1"/>
  <c r="AJ38" i="3" s="1"/>
  <c r="AK42" i="3" a="1"/>
  <c r="AK42" i="3" s="1"/>
  <c r="AK22" i="3" a="1"/>
  <c r="AK22" i="3" s="1"/>
  <c r="P6" i="4"/>
  <c r="AK6" i="4"/>
  <c r="AI22" i="3" a="1"/>
  <c r="AI22" i="3" s="1"/>
  <c r="AM22" i="3" s="1"/>
  <c r="AI42" i="3" a="1"/>
  <c r="AI42" i="3" s="1"/>
  <c r="AM42" i="3" s="1"/>
  <c r="AJ42" i="3" a="1"/>
  <c r="AJ42" i="3" s="1"/>
  <c r="AJ22" i="3" a="1"/>
  <c r="AJ22" i="3" s="1"/>
  <c r="AK50" i="3" a="1"/>
  <c r="AK50" i="3" s="1"/>
  <c r="AK14" i="3" a="1"/>
  <c r="AK14" i="3" s="1"/>
  <c r="P5" i="4"/>
  <c r="AK5" i="4"/>
  <c r="AI14" i="3" a="1"/>
  <c r="AI14" i="3" s="1"/>
  <c r="AM14" i="3" s="1"/>
  <c r="AI50" i="3" a="1"/>
  <c r="AI50" i="3" s="1"/>
  <c r="AM50" i="3" s="1"/>
  <c r="AJ14" i="3" a="1"/>
  <c r="AJ14" i="3" s="1"/>
  <c r="AJ50" i="3" a="1"/>
  <c r="AJ50" i="3" s="1"/>
  <c r="AK18" i="3" a="1"/>
  <c r="AK18" i="3" s="1"/>
  <c r="AK46" i="3" a="1"/>
  <c r="AK46" i="3" s="1"/>
  <c r="P4" i="4"/>
  <c r="AK4" i="4"/>
  <c r="AI46" i="3" a="1"/>
  <c r="AI46" i="3" s="1"/>
  <c r="AM46" i="3" s="1"/>
  <c r="AI18" i="3" a="1"/>
  <c r="AI18" i="3" s="1"/>
  <c r="AM18" i="3" s="1"/>
  <c r="AJ46" i="3" a="1"/>
  <c r="AJ46" i="3" s="1"/>
  <c r="AJ18" i="3" a="1"/>
  <c r="AJ18" i="3" s="1"/>
  <c r="AK34" i="3" a="1"/>
  <c r="AK34" i="3" s="1"/>
  <c r="AK30" i="3" a="1"/>
  <c r="AK30" i="3" s="1"/>
  <c r="P3" i="4"/>
  <c r="AK3" i="4"/>
  <c r="AI30" i="3" a="1"/>
  <c r="AI30" i="3" s="1"/>
  <c r="AM30" i="3" s="1"/>
  <c r="AI34" i="3" a="1"/>
  <c r="AI34" i="3" s="1"/>
  <c r="AM34" i="3" s="1"/>
  <c r="AJ30" i="3" a="1"/>
  <c r="AJ30" i="3" s="1"/>
  <c r="AJ34" i="3" a="1"/>
  <c r="AJ34" i="3" s="1"/>
  <c r="AK62" i="3" a="1"/>
  <c r="AK62" i="3" s="1"/>
  <c r="AK2" i="3" a="1"/>
  <c r="AK2" i="3" s="1"/>
  <c r="P2" i="4"/>
  <c r="AK2" i="4"/>
  <c r="AI2" i="3" a="1"/>
  <c r="AI2" i="3" s="1"/>
  <c r="AM2" i="3" s="1"/>
  <c r="AI62" i="3" a="1"/>
  <c r="AI62" i="3" s="1"/>
  <c r="AM62" i="3" s="1"/>
  <c r="AJ2" i="3" a="1"/>
  <c r="AJ2" i="3" s="1"/>
  <c r="AJ62" i="3" a="1"/>
  <c r="AJ62" i="3" s="1"/>
  <c r="AJ25" i="3" a="1"/>
  <c r="AJ25" i="3" s="1"/>
  <c r="AJ45" i="3" a="1"/>
  <c r="AJ45" i="3" s="1"/>
  <c r="P14" i="4"/>
  <c r="AK14" i="4"/>
  <c r="AI25" i="3" a="1"/>
  <c r="AI25" i="3" s="1"/>
  <c r="AM25" i="3" s="1"/>
  <c r="AI45" i="3" a="1"/>
  <c r="AI45" i="3" s="1"/>
  <c r="AM45" i="3" s="1"/>
  <c r="AK45" i="3" a="1"/>
  <c r="AK45" i="3" s="1"/>
  <c r="AK25" i="3" a="1"/>
  <c r="AK25" i="3" s="1"/>
  <c r="AJ16" i="3" a="1"/>
  <c r="AJ16" i="3" s="1"/>
  <c r="AJ52" i="3" a="1"/>
  <c r="AJ52" i="3" s="1"/>
  <c r="P21" i="4"/>
  <c r="AK21" i="4"/>
  <c r="AI16" i="3" a="1"/>
  <c r="AI16" i="3" s="1"/>
  <c r="AM16" i="3" s="1"/>
  <c r="AI52" i="3" a="1"/>
  <c r="AI52" i="3" s="1"/>
  <c r="AM52" i="3" s="1"/>
  <c r="AK52" i="3" a="1"/>
  <c r="AK52" i="3" s="1"/>
  <c r="AK16" i="3" a="1"/>
  <c r="AK16" i="3" s="1"/>
  <c r="AJ54" i="3" a="1"/>
  <c r="AJ54" i="3" s="1"/>
  <c r="AJ10" i="3" a="1"/>
  <c r="AJ10" i="3" s="1"/>
  <c r="AI54" i="3" a="1"/>
  <c r="AI54" i="3" s="1"/>
  <c r="AM54" i="3" s="1"/>
  <c r="AI10" i="3" a="1"/>
  <c r="AI10" i="3" s="1"/>
  <c r="AM10" i="3" s="1"/>
  <c r="AK7" i="4"/>
  <c r="P7" i="4"/>
  <c r="AK54" i="3" a="1"/>
  <c r="AK54" i="3" s="1"/>
  <c r="AK10" i="3" a="1"/>
  <c r="AK10" i="3" s="1"/>
  <c r="AL32" i="3" l="1" a="1"/>
  <c r="AL32" i="3" s="1"/>
  <c r="AL36" i="3" a="1"/>
  <c r="AL36" i="3" s="1"/>
  <c r="AN32" i="3"/>
  <c r="AO32" i="3"/>
  <c r="AN36" i="3"/>
  <c r="AO36" i="3"/>
  <c r="AL4" i="3" a="1"/>
  <c r="AL4" i="3" s="1"/>
  <c r="AL64" i="3" a="1"/>
  <c r="AL64" i="3" s="1"/>
  <c r="AN4" i="3"/>
  <c r="AO4" i="3"/>
  <c r="AN64" i="3"/>
  <c r="AO64" i="3"/>
  <c r="AL7" i="3" a="1"/>
  <c r="AL7" i="3" s="1"/>
  <c r="AL59" i="3" a="1"/>
  <c r="AL59" i="3" s="1"/>
  <c r="AN7" i="3"/>
  <c r="AO7" i="3"/>
  <c r="AN59" i="3"/>
  <c r="AO59" i="3"/>
  <c r="AL27" i="3" a="1"/>
  <c r="AL27" i="3" s="1"/>
  <c r="AL39" i="3" a="1"/>
  <c r="AL39" i="3" s="1"/>
  <c r="AN27" i="3"/>
  <c r="AO27" i="3"/>
  <c r="AN39" i="3"/>
  <c r="AO39" i="3"/>
  <c r="AL11" i="3" a="1"/>
  <c r="AL11" i="3" s="1"/>
  <c r="AL55" i="3" a="1"/>
  <c r="AL55" i="3" s="1"/>
  <c r="AN11" i="3"/>
  <c r="AO11" i="3"/>
  <c r="AN55" i="3"/>
  <c r="AO55" i="3"/>
  <c r="AL23" i="3" a="1"/>
  <c r="AL23" i="3" s="1"/>
  <c r="AL43" i="3" a="1"/>
  <c r="AL43" i="3" s="1"/>
  <c r="AN23" i="3"/>
  <c r="AO23" i="3"/>
  <c r="AN43" i="3"/>
  <c r="AO43" i="3"/>
  <c r="AL20" i="3" a="1"/>
  <c r="AL20" i="3" s="1"/>
  <c r="AL48" i="3" a="1"/>
  <c r="AL48" i="3" s="1"/>
  <c r="AN20" i="3"/>
  <c r="AO20" i="3"/>
  <c r="AO48" i="3"/>
  <c r="AN48" i="3"/>
  <c r="AL9" i="3" a="1"/>
  <c r="AL9" i="3" s="1"/>
  <c r="AL61" i="3" a="1"/>
  <c r="AL61" i="3" s="1"/>
  <c r="AN9" i="3"/>
  <c r="AO9" i="3"/>
  <c r="AN61" i="3"/>
  <c r="AO61" i="3"/>
  <c r="AL29" i="3" a="1"/>
  <c r="AL29" i="3" s="1"/>
  <c r="AL41" i="3" a="1"/>
  <c r="AL41" i="3" s="1"/>
  <c r="AN29" i="3"/>
  <c r="AO29" i="3"/>
  <c r="AN41" i="3"/>
  <c r="AO41" i="3"/>
  <c r="AL13" i="3" a="1"/>
  <c r="AL13" i="3" s="1"/>
  <c r="AL57" i="3" a="1"/>
  <c r="AL57" i="3" s="1"/>
  <c r="AN13" i="3"/>
  <c r="AO13" i="3"/>
  <c r="AN57" i="3"/>
  <c r="AO57" i="3"/>
  <c r="AL17" i="3" a="1"/>
  <c r="AL17" i="3" s="1"/>
  <c r="AL53" i="3" a="1"/>
  <c r="AL53" i="3" s="1"/>
  <c r="AN17" i="3"/>
  <c r="AO17" i="3"/>
  <c r="AN53" i="3"/>
  <c r="AO53" i="3"/>
  <c r="AL15" i="3" a="1"/>
  <c r="AL15" i="3" s="1"/>
  <c r="AL51" i="3" a="1"/>
  <c r="AL51" i="3" s="1"/>
  <c r="AN15" i="3"/>
  <c r="AO15" i="3"/>
  <c r="AN51" i="3"/>
  <c r="AO51" i="3"/>
  <c r="AL19" i="3" a="1"/>
  <c r="AL19" i="3" s="1"/>
  <c r="AL47" i="3" a="1"/>
  <c r="AL47" i="3" s="1"/>
  <c r="AN19" i="3"/>
  <c r="AO19" i="3"/>
  <c r="AN47" i="3"/>
  <c r="AO47" i="3"/>
  <c r="AL31" i="3" a="1"/>
  <c r="AL31" i="3" s="1"/>
  <c r="AL35" i="3" a="1"/>
  <c r="AL35" i="3" s="1"/>
  <c r="AN31" i="3"/>
  <c r="AO31" i="3"/>
  <c r="AN35" i="3"/>
  <c r="AO35" i="3"/>
  <c r="AL3" i="3" a="1"/>
  <c r="AL3" i="3" s="1"/>
  <c r="AL63" i="3" a="1"/>
  <c r="AL63" i="3" s="1"/>
  <c r="AN3" i="3"/>
  <c r="AO3" i="3"/>
  <c r="AN63" i="3"/>
  <c r="AO63" i="3"/>
  <c r="AL8" i="3" a="1"/>
  <c r="AL8" i="3" s="1"/>
  <c r="AL60" i="3" a="1"/>
  <c r="AL60" i="3" s="1"/>
  <c r="AN8" i="3"/>
  <c r="AO8" i="3"/>
  <c r="AN60" i="3"/>
  <c r="AO60" i="3"/>
  <c r="AL28" i="3" a="1"/>
  <c r="AL28" i="3" s="1"/>
  <c r="AL40" i="3" a="1"/>
  <c r="AL40" i="3" s="1"/>
  <c r="AN28" i="3"/>
  <c r="AO28" i="3"/>
  <c r="AN40" i="3"/>
  <c r="AO40" i="3"/>
  <c r="AL12" i="3" a="1"/>
  <c r="AL12" i="3" s="1"/>
  <c r="AL56" i="3" a="1"/>
  <c r="AL56" i="3" s="1"/>
  <c r="AN12" i="3"/>
  <c r="AO12" i="3"/>
  <c r="AN56" i="3"/>
  <c r="AO56" i="3"/>
  <c r="AL24" i="3" a="1"/>
  <c r="AL24" i="3" s="1"/>
  <c r="AL44" i="3" a="1"/>
  <c r="AL44" i="3" s="1"/>
  <c r="AN24" i="3"/>
  <c r="AO24" i="3"/>
  <c r="AN44" i="3"/>
  <c r="AO44" i="3"/>
  <c r="AL21" i="3" a="1"/>
  <c r="AL21" i="3" s="1"/>
  <c r="AL49" i="3" a="1"/>
  <c r="AL49" i="3" s="1"/>
  <c r="AN21" i="3"/>
  <c r="AO21" i="3"/>
  <c r="AN49" i="3"/>
  <c r="AO49" i="3"/>
  <c r="AL33" i="3" a="1"/>
  <c r="AL33" i="3" s="1"/>
  <c r="AL37" i="3" a="1"/>
  <c r="AL37" i="3" s="1"/>
  <c r="AN33" i="3"/>
  <c r="AO33" i="3"/>
  <c r="AN37" i="3"/>
  <c r="AO37" i="3"/>
  <c r="AL5" i="3" a="1"/>
  <c r="AL5" i="3" s="1"/>
  <c r="AL65" i="3" a="1"/>
  <c r="AL65" i="3" s="1"/>
  <c r="AN5" i="3"/>
  <c r="AO5" i="3"/>
  <c r="AN65" i="3"/>
  <c r="AO65" i="3"/>
  <c r="AL6" i="3" a="1"/>
  <c r="AL6" i="3" s="1"/>
  <c r="AL58" i="3" a="1"/>
  <c r="AL58" i="3" s="1"/>
  <c r="AN6" i="3"/>
  <c r="AO6" i="3"/>
  <c r="AN58" i="3"/>
  <c r="AO58" i="3"/>
  <c r="AL26" i="3" a="1"/>
  <c r="AL26" i="3" s="1"/>
  <c r="AL38" i="3" a="1"/>
  <c r="AL38" i="3" s="1"/>
  <c r="AN26" i="3"/>
  <c r="AO26" i="3"/>
  <c r="AN38" i="3"/>
  <c r="AO38" i="3"/>
  <c r="AL22" i="3" a="1"/>
  <c r="AL22" i="3" s="1"/>
  <c r="AL42" i="3" a="1"/>
  <c r="AL42" i="3" s="1"/>
  <c r="AN22" i="3"/>
  <c r="AO22" i="3"/>
  <c r="AN42" i="3"/>
  <c r="AO42" i="3"/>
  <c r="AL14" i="3" a="1"/>
  <c r="AL14" i="3" s="1"/>
  <c r="AL50" i="3" a="1"/>
  <c r="AL50" i="3" s="1"/>
  <c r="AN14" i="3"/>
  <c r="AO14" i="3"/>
  <c r="AN50" i="3"/>
  <c r="AO50" i="3"/>
  <c r="AL46" i="3" a="1"/>
  <c r="AL46" i="3" s="1"/>
  <c r="AL18" i="3" a="1"/>
  <c r="AL18" i="3" s="1"/>
  <c r="AN46" i="3"/>
  <c r="AO46" i="3"/>
  <c r="AN18" i="3"/>
  <c r="AO18" i="3"/>
  <c r="AL30" i="3" a="1"/>
  <c r="AL30" i="3" s="1"/>
  <c r="AL34" i="3" a="1"/>
  <c r="AL34" i="3" s="1"/>
  <c r="AN30" i="3"/>
  <c r="AO30" i="3"/>
  <c r="AN34" i="3"/>
  <c r="AO34" i="3"/>
  <c r="AL2" i="3" a="1"/>
  <c r="AL2" i="3" s="1"/>
  <c r="AL62" i="3" a="1"/>
  <c r="AL62" i="3" s="1"/>
  <c r="AN2" i="3"/>
  <c r="AO2" i="3"/>
  <c r="AN62" i="3"/>
  <c r="AO62" i="3"/>
  <c r="AL25" i="3" a="1"/>
  <c r="AL25" i="3" s="1"/>
  <c r="AL45" i="3" a="1"/>
  <c r="AL45" i="3" s="1"/>
  <c r="AN25" i="3"/>
  <c r="AO25" i="3"/>
  <c r="AO45" i="3"/>
  <c r="AN45" i="3"/>
  <c r="AL16" i="3" a="1"/>
  <c r="AL16" i="3" s="1"/>
  <c r="AL52" i="3" a="1"/>
  <c r="AL52" i="3" s="1"/>
  <c r="AN16" i="3"/>
  <c r="AO16" i="3"/>
  <c r="AN52" i="3"/>
  <c r="AO52" i="3"/>
  <c r="AN54" i="3"/>
  <c r="AO54" i="3"/>
  <c r="AN10" i="3"/>
  <c r="AO10" i="3"/>
  <c r="AL10" i="3" a="1"/>
  <c r="AL10" i="3" s="1"/>
  <c r="AL54" i="3" a="1"/>
  <c r="AL54" i="3" s="1"/>
</calcChain>
</file>

<file path=xl/sharedStrings.xml><?xml version="1.0" encoding="utf-8"?>
<sst xmlns="http://schemas.openxmlformats.org/spreadsheetml/2006/main" count="2722" uniqueCount="491">
  <si>
    <t>Team</t>
  </si>
  <si>
    <t>Seed</t>
  </si>
  <si>
    <t>Region</t>
  </si>
  <si>
    <t>Barthag</t>
  </si>
  <si>
    <t>AdjOE</t>
  </si>
  <si>
    <t>AdjDE</t>
  </si>
  <si>
    <t>Net Rating</t>
  </si>
  <si>
    <t>EFG%</t>
  </si>
  <si>
    <t>EFGD%</t>
  </si>
  <si>
    <t>TOR</t>
  </si>
  <si>
    <t>TORD</t>
  </si>
  <si>
    <t>ORB</t>
  </si>
  <si>
    <t>DRB</t>
  </si>
  <si>
    <t>FTR</t>
  </si>
  <si>
    <t>3P%</t>
  </si>
  <si>
    <t>3P%D</t>
  </si>
  <si>
    <t>Injury Impact Score</t>
  </si>
  <si>
    <t>AdjOE (recent)</t>
  </si>
  <si>
    <t>AdjDE (recent)</t>
  </si>
  <si>
    <t>Net Rating (recent)</t>
  </si>
  <si>
    <t>Metric Source</t>
  </si>
  <si>
    <t>Duke</t>
  </si>
  <si>
    <t>East</t>
  </si>
  <si>
    <t>Bart Torvik + Torvik Recent</t>
  </si>
  <si>
    <t>Connecticut</t>
  </si>
  <si>
    <t>Michigan St.</t>
  </si>
  <si>
    <t>Kansas</t>
  </si>
  <si>
    <t>St. John's</t>
  </si>
  <si>
    <t>Louisville</t>
  </si>
  <si>
    <t>UCLA</t>
  </si>
  <si>
    <t>Ohio St.</t>
  </si>
  <si>
    <t>TCU</t>
  </si>
  <si>
    <t>UCF</t>
  </si>
  <si>
    <t>South Florida</t>
  </si>
  <si>
    <t>Northern Iowa</t>
  </si>
  <si>
    <t>Cal Baptist</t>
  </si>
  <si>
    <t>North Dakota St.</t>
  </si>
  <si>
    <t>Furman</t>
  </si>
  <si>
    <t>Siena</t>
  </si>
  <si>
    <t>Arizona</t>
  </si>
  <si>
    <t>West</t>
  </si>
  <si>
    <t>Purdue</t>
  </si>
  <si>
    <t>Gonzaga</t>
  </si>
  <si>
    <t>Arkansas</t>
  </si>
  <si>
    <t>Wisconsin</t>
  </si>
  <si>
    <t>BYU</t>
  </si>
  <si>
    <t>Miami FL</t>
  </si>
  <si>
    <t>Villanova</t>
  </si>
  <si>
    <t>Utah St.</t>
  </si>
  <si>
    <t>Missouri</t>
  </si>
  <si>
    <t>NC State</t>
  </si>
  <si>
    <t>NC State/Texas</t>
  </si>
  <si>
    <t>Average of play-in teams</t>
  </si>
  <si>
    <t>Texas</t>
  </si>
  <si>
    <t>High Point</t>
  </si>
  <si>
    <t>Hawaii</t>
  </si>
  <si>
    <t>Kennesaw St.</t>
  </si>
  <si>
    <t>Queens</t>
  </si>
  <si>
    <t>LIU</t>
  </si>
  <si>
    <t>Florida</t>
  </si>
  <si>
    <t>South</t>
  </si>
  <si>
    <t>Houston</t>
  </si>
  <si>
    <t>Illinois</t>
  </si>
  <si>
    <t>Nebraska</t>
  </si>
  <si>
    <t>Vanderbilt</t>
  </si>
  <si>
    <t>North Carolina</t>
  </si>
  <si>
    <t>Saint Mary's</t>
  </si>
  <si>
    <t>Clemson</t>
  </si>
  <si>
    <t>Iowa</t>
  </si>
  <si>
    <t>Texas A&amp;M</t>
  </si>
  <si>
    <t>VCU</t>
  </si>
  <si>
    <t>McNeese St.</t>
  </si>
  <si>
    <t>Troy</t>
  </si>
  <si>
    <t>Penn</t>
  </si>
  <si>
    <t>Idaho</t>
  </si>
  <si>
    <t>Lehigh</t>
  </si>
  <si>
    <t>Lehigh/Prairie View A&amp;M</t>
  </si>
  <si>
    <t>Prairie View A&amp;M</t>
  </si>
  <si>
    <t>Michigan</t>
  </si>
  <si>
    <t>Midwest</t>
  </si>
  <si>
    <t>Iowa St.</t>
  </si>
  <si>
    <t>Virginia</t>
  </si>
  <si>
    <t>Alabama</t>
  </si>
  <si>
    <t>Texas Tech</t>
  </si>
  <si>
    <t>Tennessee</t>
  </si>
  <si>
    <t>Kentucky</t>
  </si>
  <si>
    <t>Georgia</t>
  </si>
  <si>
    <t>Saint Louis</t>
  </si>
  <si>
    <t>Santa Clara</t>
  </si>
  <si>
    <t>Miami OH</t>
  </si>
  <si>
    <t>SMU</t>
  </si>
  <si>
    <t>SMU/Miami (Ohio)</t>
  </si>
  <si>
    <t>Akron</t>
  </si>
  <si>
    <t>Hofstra</t>
  </si>
  <si>
    <t>Wright St.</t>
  </si>
  <si>
    <t>Tennessee St.</t>
  </si>
  <si>
    <t>Howard</t>
  </si>
  <si>
    <t>Howard/UMBC</t>
  </si>
  <si>
    <t>UMBC</t>
  </si>
  <si>
    <t>Opponent</t>
  </si>
  <si>
    <t>Opponent Seed</t>
  </si>
  <si>
    <t>Net Rating (AdjOE-AdjDE)</t>
  </si>
  <si>
    <t>Form Score</t>
  </si>
  <si>
    <t>Adjusted NET</t>
  </si>
  <si>
    <t>3pt Matchup Score</t>
  </si>
  <si>
    <t>TO Matchup Score</t>
  </si>
  <si>
    <t>Rebounding Matchup Score</t>
  </si>
  <si>
    <t>Experience/Coaching Adjustment</t>
  </si>
  <si>
    <t>Final Composite Score</t>
  </si>
  <si>
    <t>Matchup Key</t>
  </si>
  <si>
    <t>Game ID</t>
  </si>
  <si>
    <t>Next Game</t>
  </si>
  <si>
    <t>Next Slot</t>
  </si>
  <si>
    <t>Ready?</t>
  </si>
  <si>
    <t>Predicted Winner</t>
  </si>
  <si>
    <t>Prediction Confidence</t>
  </si>
  <si>
    <t>Prediction Reason</t>
  </si>
  <si>
    <t>Upset Flag</t>
  </si>
  <si>
    <t>Winner Advanced?</t>
  </si>
  <si>
    <t>Advance Next Game</t>
  </si>
  <si>
    <t>Advance Next Slot</t>
  </si>
  <si>
    <t>G1</t>
  </si>
  <si>
    <t>G33</t>
  </si>
  <si>
    <t>Team 1</t>
  </si>
  <si>
    <t>G25</t>
  </si>
  <si>
    <t>G45</t>
  </si>
  <si>
    <t>G17</t>
  </si>
  <si>
    <t>G41</t>
  </si>
  <si>
    <t>G9</t>
  </si>
  <si>
    <t>G37</t>
  </si>
  <si>
    <t>G8</t>
  </si>
  <si>
    <t>G36</t>
  </si>
  <si>
    <t>Team 2</t>
  </si>
  <si>
    <t>G32</t>
  </si>
  <si>
    <t>G48</t>
  </si>
  <si>
    <t>G24</t>
  </si>
  <si>
    <t>G44</t>
  </si>
  <si>
    <t>G16</t>
  </si>
  <si>
    <t>G40</t>
  </si>
  <si>
    <t>G6</t>
  </si>
  <si>
    <t>G35</t>
  </si>
  <si>
    <t>G30</t>
  </si>
  <si>
    <t>G47</t>
  </si>
  <si>
    <t>G22</t>
  </si>
  <si>
    <t>G43</t>
  </si>
  <si>
    <t>G14</t>
  </si>
  <si>
    <t>G39</t>
  </si>
  <si>
    <t>G4</t>
  </si>
  <si>
    <t>G34</t>
  </si>
  <si>
    <t>G28</t>
  </si>
  <si>
    <t>G46</t>
  </si>
  <si>
    <t>G20</t>
  </si>
  <si>
    <t>G42</t>
  </si>
  <si>
    <t>G12</t>
  </si>
  <si>
    <t>G38</t>
  </si>
  <si>
    <t>G3</t>
  </si>
  <si>
    <t>G27</t>
  </si>
  <si>
    <t>G19</t>
  </si>
  <si>
    <t>G11</t>
  </si>
  <si>
    <t>G5</t>
  </si>
  <si>
    <t>G29</t>
  </si>
  <si>
    <t>G21</t>
  </si>
  <si>
    <t>G13</t>
  </si>
  <si>
    <t>G7</t>
  </si>
  <si>
    <t>G31</t>
  </si>
  <si>
    <t>G23</t>
  </si>
  <si>
    <t>G15</t>
  </si>
  <si>
    <t>G2</t>
  </si>
  <si>
    <t>G26</t>
  </si>
  <si>
    <t>G18</t>
  </si>
  <si>
    <t>G10</t>
  </si>
  <si>
    <t>Round</t>
  </si>
  <si>
    <t>Master_Order</t>
  </si>
  <si>
    <t>Bracket</t>
  </si>
  <si>
    <t>Source Game 1</t>
  </si>
  <si>
    <t>Source Game 2</t>
  </si>
  <si>
    <t>Team_1</t>
  </si>
  <si>
    <t>Team_2</t>
  </si>
  <si>
    <t>Team 1 Seed</t>
  </si>
  <si>
    <t>Team 2 Seed</t>
  </si>
  <si>
    <t>Team 1 Composite</t>
  </si>
  <si>
    <t>Team 2 Composite</t>
  </si>
  <si>
    <t>Score Delta</t>
  </si>
  <si>
    <t>T1 Adjusted NET</t>
  </si>
  <si>
    <t>T1 Form</t>
  </si>
  <si>
    <t>T1 3pt</t>
  </si>
  <si>
    <t>T1 TO</t>
  </si>
  <si>
    <t>T1 Rebounding</t>
  </si>
  <si>
    <t>T1 Coaching</t>
  </si>
  <si>
    <t>T1 Injury</t>
  </si>
  <si>
    <t>T2 Adjusted NET</t>
  </si>
  <si>
    <t>T2 Form</t>
  </si>
  <si>
    <t>T2 3pt</t>
  </si>
  <si>
    <t>T2 TO</t>
  </si>
  <si>
    <t>T2 Rebounding</t>
  </si>
  <si>
    <t>T2 Coaching</t>
  </si>
  <si>
    <t>T2 Injury</t>
  </si>
  <si>
    <t>Zap Ready?</t>
  </si>
  <si>
    <t>Winner Override</t>
  </si>
  <si>
    <t>Final Winner</t>
  </si>
  <si>
    <t>Trigger</t>
  </si>
  <si>
    <t>Round 1</t>
  </si>
  <si>
    <t>Round 2</t>
  </si>
  <si>
    <t>G49</t>
  </si>
  <si>
    <t>G50</t>
  </si>
  <si>
    <t>G51</t>
  </si>
  <si>
    <t>G52</t>
  </si>
  <si>
    <t>G53</t>
  </si>
  <si>
    <t>G54</t>
  </si>
  <si>
    <t>G55</t>
  </si>
  <si>
    <t>G56</t>
  </si>
  <si>
    <t>Sweet 16</t>
  </si>
  <si>
    <t>G57</t>
  </si>
  <si>
    <t>G58</t>
  </si>
  <si>
    <t>G59</t>
  </si>
  <si>
    <t>G60</t>
  </si>
  <si>
    <t>Elite 8</t>
  </si>
  <si>
    <t>G61</t>
  </si>
  <si>
    <t>G62</t>
  </si>
  <si>
    <t>Final Four</t>
  </si>
  <si>
    <t>East/South</t>
  </si>
  <si>
    <t>G63</t>
  </si>
  <si>
    <t>West/Midwest</t>
  </si>
  <si>
    <t>Championship</t>
  </si>
  <si>
    <t>National</t>
  </si>
  <si>
    <t>Winner</t>
  </si>
  <si>
    <t>Win %</t>
  </si>
  <si>
    <t>Matchup Text</t>
  </si>
  <si>
    <t>Master Order</t>
  </si>
  <si>
    <t>Duke vs Siena</t>
  </si>
  <si>
    <t>TCU vs Ohio St.</t>
  </si>
  <si>
    <t>St. John's vs Northern Iowa</t>
  </si>
  <si>
    <t>Cal Baptist vs Kansas</t>
  </si>
  <si>
    <t>Louisville vs South Florida</t>
  </si>
  <si>
    <t>North Dakota St. vs Michigan St.</t>
  </si>
  <si>
    <t>UCLA vs UCF</t>
  </si>
  <si>
    <t>Furman vs Connecticut</t>
  </si>
  <si>
    <t>Arizona vs LIU</t>
  </si>
  <si>
    <t>Utah St. vs Villanova</t>
  </si>
  <si>
    <t>Wisconsin vs High Point</t>
  </si>
  <si>
    <t>Hawaii vs Arkansas</t>
  </si>
  <si>
    <t>BYU vs Texas</t>
  </si>
  <si>
    <t>Kennesaw St. vs Gonzaga</t>
  </si>
  <si>
    <t>Miami FL vs Missouri</t>
  </si>
  <si>
    <t>Queens vs Purdue</t>
  </si>
  <si>
    <t>Prairie View A&amp;M vs Florida</t>
  </si>
  <si>
    <t>Clemson vs Iowa</t>
  </si>
  <si>
    <t>McNeese St. vs Vanderbilt</t>
  </si>
  <si>
    <t>Nebraska vs Troy</t>
  </si>
  <si>
    <t>VCU vs North Carolina</t>
  </si>
  <si>
    <t>Illinois vs Penn</t>
  </si>
  <si>
    <t>Texas A&amp;M vs Saint Mary's</t>
  </si>
  <si>
    <t>Houston vs Idaho</t>
  </si>
  <si>
    <t>Howard vs Michigan</t>
  </si>
  <si>
    <t>Georgia vs Saint Louis</t>
  </si>
  <si>
    <t>Akron vs Texas Tech</t>
  </si>
  <si>
    <t>Alabama vs Hofstra</t>
  </si>
  <si>
    <t>Miami OH vs Tennessee</t>
  </si>
  <si>
    <t>Virginia vs Wright St.</t>
  </si>
  <si>
    <t>Santa Clara vs Kentucky</t>
  </si>
  <si>
    <t>Iowa St. vs Tennessee St.</t>
  </si>
  <si>
    <t>Duke vs Ohio St.</t>
  </si>
  <si>
    <t>St. John's vs Cal Baptist</t>
  </si>
  <si>
    <t>South Florida vs Michigan St.</t>
  </si>
  <si>
    <t>UCLA vs Connecticut</t>
  </si>
  <si>
    <t>Arizona vs Utah St.</t>
  </si>
  <si>
    <t>Wisconsin vs Arkansas</t>
  </si>
  <si>
    <t>BYU vs Gonzaga</t>
  </si>
  <si>
    <t>Miami FL vs Purdue</t>
  </si>
  <si>
    <t>Florida vs Iowa</t>
  </si>
  <si>
    <t>Vanderbilt vs Troy</t>
  </si>
  <si>
    <t>VCU vs Illinois</t>
  </si>
  <si>
    <t>Saint Mary's vs Houston</t>
  </si>
  <si>
    <t>Michigan vs Georgia</t>
  </si>
  <si>
    <t>Akron vs Alabama</t>
  </si>
  <si>
    <t>Tennessee vs Virginia</t>
  </si>
  <si>
    <t>Santa Clara vs Iowa St.</t>
  </si>
  <si>
    <t>Cal Baptist vs Connecticut</t>
  </si>
  <si>
    <t>Arkansas vs Purdue</t>
  </si>
  <si>
    <t>Troy vs Houston</t>
  </si>
  <si>
    <t>Alabama vs Iowa St.</t>
  </si>
  <si>
    <t>Cal Baptist vs Arkansas</t>
  </si>
  <si>
    <t>Connecticut vs Purdue</t>
  </si>
  <si>
    <t>Troy vs Alabama</t>
  </si>
  <si>
    <t>Houston vs Iowa St.</t>
  </si>
  <si>
    <t>Ohio St. vs UCLA</t>
  </si>
  <si>
    <t>Arizona vs Purdue</t>
  </si>
  <si>
    <t>Vanderbilt vs Houston</t>
  </si>
  <si>
    <t>Georgia vs Iowa St.</t>
  </si>
  <si>
    <t>UCLA vs Vanderbilt</t>
  </si>
  <si>
    <t>Arizona vs Iowa St.</t>
  </si>
  <si>
    <t>UCLA vs Iowa St.</t>
  </si>
  <si>
    <t>Seed_2</t>
  </si>
  <si>
    <t>Region_2</t>
  </si>
  <si>
    <t>Opponent_2</t>
  </si>
  <si>
    <t>Opponent Seed_2</t>
  </si>
  <si>
    <t>Rk</t>
  </si>
  <si>
    <t>3P %</t>
  </si>
  <si>
    <t>3P %D</t>
  </si>
  <si>
    <t>N.C. State</t>
  </si>
  <si>
    <t>Recent Scores</t>
  </si>
  <si>
    <t>Since March 1st</t>
  </si>
  <si>
    <t>Injury Notes Guide</t>
  </si>
  <si>
    <t>0 = Fully healthy</t>
  </si>
  <si>
    <t>-0.5 = Minor bench issue</t>
  </si>
  <si>
    <t>-1 = Rotation player out</t>
  </si>
  <si>
    <t>-1.5 = Key bench / limited starter</t>
  </si>
  <si>
    <t>-2 = Starter out</t>
  </si>
  <si>
    <t>-2.5 = Star player limited</t>
  </si>
  <si>
    <t>-3 = Star player out / multiple starters out</t>
  </si>
  <si>
    <t>Coaching Guide</t>
  </si>
  <si>
    <t>Component</t>
  </si>
  <si>
    <t>Weight</t>
  </si>
  <si>
    <t>% of Total</t>
  </si>
  <si>
    <t>~33%</t>
  </si>
  <si>
    <t>Net Rating (Recent)</t>
  </si>
  <si>
    <t>Turnovers (TOR)</t>
  </si>
  <si>
    <t>~17%</t>
  </si>
  <si>
    <t>Free Throw Rate</t>
  </si>
  <si>
    <t>~8%</t>
  </si>
  <si>
    <t>Defensive Rebounds</t>
  </si>
  <si>
    <t>Rebounding Matchup Score (RMS) Logic</t>
  </si>
  <si>
    <t>Score Range</t>
  </si>
  <si>
    <t>Interpretation</t>
  </si>
  <si>
    <t>What It Means (On Court)</t>
  </si>
  <si>
    <t>Betting / Model Impact</t>
  </si>
  <si>
    <t>0 – 3</t>
  </si>
  <si>
    <t>Major Disadvantage</t>
  </si>
  <si>
    <t>Opponent dominates glass on both ends</t>
  </si>
  <si>
    <t>Strong negative signal / upset risk</t>
  </si>
  <si>
    <t>3 – 4.9</t>
  </si>
  <si>
    <t>Slight Disadvantage</t>
  </si>
  <si>
    <t>Opponent has edge in either ORB or DRB</t>
  </si>
  <si>
    <t>Minor downgrade in projection</t>
  </si>
  <si>
    <t>Neutral</t>
  </si>
  <si>
    <t>Even rebounding matchup</t>
  </si>
  <si>
    <t>No impact</t>
  </si>
  <si>
    <t>5.1 – 6.5</t>
  </si>
  <si>
    <t>Moderate Advantage</t>
  </si>
  <si>
    <t>Edge on one side of glass (ORB or DRB)</t>
  </si>
  <si>
    <t>Slight boost to projection</t>
  </si>
  <si>
    <t>6.6 – 8</t>
  </si>
  <si>
    <t>Strong Advantage</t>
  </si>
  <si>
    <t>Clear rebounding edge on both ends</t>
  </si>
  <si>
    <t>Strong positive signal / adds confidence</t>
  </si>
  <si>
    <t>8 – 10</t>
  </si>
  <si>
    <t>Dominant Advantage</t>
  </si>
  <si>
    <t>Major mismatch → extra possessions + second chance points</t>
  </si>
  <si>
    <t>Upset / blowout signal</t>
  </si>
  <si>
    <t>Composite Score</t>
  </si>
  <si>
    <t>Metric</t>
  </si>
  <si>
    <t>What It Means</t>
  </si>
  <si>
    <t>Bart Torvik</t>
  </si>
  <si>
    <t>Overall team strength</t>
  </si>
  <si>
    <t>Recent Performance</t>
  </si>
  <si>
    <t>How well the team has played lately</t>
  </si>
  <si>
    <t>Offense</t>
  </si>
  <si>
    <t>How good the team is at scoring</t>
  </si>
  <si>
    <t>Defense</t>
  </si>
  <si>
    <t>How good the team is at stopping others</t>
  </si>
  <si>
    <t>Strength of Schedule</t>
  </si>
  <si>
    <t>How tough their opponents were</t>
  </si>
  <si>
    <t xml:space="preserve">Tempo    </t>
  </si>
  <si>
    <t>How fast the teams plays</t>
  </si>
  <si>
    <t xml:space="preserve">Injuries   </t>
  </si>
  <si>
    <t>How healthy the team is</t>
  </si>
  <si>
    <t xml:space="preserve">Total   </t>
  </si>
  <si>
    <t>Actual Winner</t>
  </si>
  <si>
    <t>Actual Score</t>
  </si>
  <si>
    <t>Completed?</t>
  </si>
  <si>
    <t>Team 1 Barthag</t>
  </si>
  <si>
    <t>Team 2 Barthag</t>
  </si>
  <si>
    <t>Team 1 AdjOE</t>
  </si>
  <si>
    <t>Team 2 AdjOE</t>
  </si>
  <si>
    <t>Team 1 AdjDE</t>
  </si>
  <si>
    <t>Team 2 AdjDE</t>
  </si>
  <si>
    <t>Team 1 Net Rating</t>
  </si>
  <si>
    <t>Team 2 Net Rating</t>
  </si>
  <si>
    <t>Team 1 EFG%</t>
  </si>
  <si>
    <t>Team 2 EFG%</t>
  </si>
  <si>
    <t>Team 1 TORD</t>
  </si>
  <si>
    <t>Team 2 TORD</t>
  </si>
  <si>
    <t>Team 1 ORB</t>
  </si>
  <si>
    <t>Team 2 ORB</t>
  </si>
  <si>
    <t>Team 1 DRB</t>
  </si>
  <si>
    <t>Team 2 DRB</t>
  </si>
  <si>
    <t>Team 1 3P%</t>
  </si>
  <si>
    <t>Team 2 3P%</t>
  </si>
  <si>
    <t>Team 1 Injury</t>
  </si>
  <si>
    <t>Team 2 Injury</t>
  </si>
  <si>
    <t>Source URL</t>
  </si>
  <si>
    <t>Model Pick</t>
  </si>
  <si>
    <t>Pick Correct?</t>
  </si>
  <si>
    <t>71-65</t>
  </si>
  <si>
    <t>Yes</t>
  </si>
  <si>
    <t>https://www.ncaa.com/news/basketball-men/mml-official-bracket/2026-03-23/2026-ncaa-tournament-bracket-schedule-scores-march-madness</t>
  </si>
  <si>
    <t>66-64</t>
  </si>
  <si>
    <t>No</t>
  </si>
  <si>
    <t>79-53</t>
  </si>
  <si>
    <t>68-60</t>
  </si>
  <si>
    <t>83-79</t>
  </si>
  <si>
    <t>92-67</t>
  </si>
  <si>
    <t>75-71</t>
  </si>
  <si>
    <t>82-71</t>
  </si>
  <si>
    <t>92-58</t>
  </si>
  <si>
    <t>86-76</t>
  </si>
  <si>
    <t>83-82</t>
  </si>
  <si>
    <t>97-78</t>
  </si>
  <si>
    <t>79-71</t>
  </si>
  <si>
    <t>73-64</t>
  </si>
  <si>
    <t>80-66</t>
  </si>
  <si>
    <t>104-71</t>
  </si>
  <si>
    <t>114-55</t>
  </si>
  <si>
    <t>67-61</t>
  </si>
  <si>
    <t>78-68</t>
  </si>
  <si>
    <t>76-47</t>
  </si>
  <si>
    <t>82-78 (OT)</t>
  </si>
  <si>
    <t>105-70</t>
  </si>
  <si>
    <t>63-50</t>
  </si>
  <si>
    <t>78-47</t>
  </si>
  <si>
    <t>101-80</t>
  </si>
  <si>
    <t>102-77</t>
  </si>
  <si>
    <t>91-71</t>
  </si>
  <si>
    <t>90-70</t>
  </si>
  <si>
    <t>78-56</t>
  </si>
  <si>
    <t>82-73</t>
  </si>
  <si>
    <t>89-84 (OT)</t>
  </si>
  <si>
    <t>108-74</t>
  </si>
  <si>
    <t>81-58</t>
  </si>
  <si>
    <t>Duke vs TCU</t>
  </si>
  <si>
    <t>67-65</t>
  </si>
  <si>
    <t>St. John's vs Kansas</t>
  </si>
  <si>
    <t>77-69</t>
  </si>
  <si>
    <t>Louisville vs Michigan St.</t>
  </si>
  <si>
    <t>73-57</t>
  </si>
  <si>
    <t>78-66</t>
  </si>
  <si>
    <t>94-88</t>
  </si>
  <si>
    <t>High Point vs Arkansas</t>
  </si>
  <si>
    <t>74-68</t>
  </si>
  <si>
    <t>Texas vs Gonzaga</t>
  </si>
  <si>
    <t>79-69</t>
  </si>
  <si>
    <t>73-72</t>
  </si>
  <si>
    <t>74-72</t>
  </si>
  <si>
    <t>Vanderbilt vs Nebraska</t>
  </si>
  <si>
    <t>76-55</t>
  </si>
  <si>
    <t>88-57</t>
  </si>
  <si>
    <t>Texas A&amp;M vs Houston</t>
  </si>
  <si>
    <t>95-72</t>
  </si>
  <si>
    <t>Michigan vs Saint Louis</t>
  </si>
  <si>
    <t>90-65</t>
  </si>
  <si>
    <t>Texas Tech vs Alabama</t>
  </si>
  <si>
    <t>79-72</t>
  </si>
  <si>
    <t>82-63</t>
  </si>
  <si>
    <t>Kentucky vs Iowa St.</t>
  </si>
  <si>
    <t>Duke vs St. John's</t>
  </si>
  <si>
    <t>Michigan St. vs Connecticut</t>
  </si>
  <si>
    <t>Arizona vs Arkansas</t>
  </si>
  <si>
    <t>Texas vs Purdue</t>
  </si>
  <si>
    <t>Iowa vs Nebraska</t>
  </si>
  <si>
    <t>Illinois vs Houston</t>
  </si>
  <si>
    <t>Michigan vs Alabama</t>
  </si>
  <si>
    <t>Tennessee vs Iowa St.</t>
  </si>
  <si>
    <t>Results reflect official NCAA men's tournament results published March 23, 2026; Sweet 16 pairings included, later rounds pending.</t>
  </si>
  <si>
    <t>Model Analysis</t>
  </si>
  <si>
    <t>Model scorecard</t>
  </si>
  <si>
    <t>This tab uses the 48 completed games through March 23, 2026.</t>
  </si>
  <si>
    <t>Completed games</t>
  </si>
  <si>
    <t>Correct winner picks</t>
  </si>
  <si>
    <t>Winner Avg</t>
  </si>
  <si>
    <t>Loser Avg</t>
  </si>
  <si>
    <t>Winner Edge</t>
  </si>
  <si>
    <t>Common Pattern</t>
  </si>
  <si>
    <t>Potential Driver Strength</t>
  </si>
  <si>
    <t>Accuracy</t>
  </si>
  <si>
    <t>Winners usually had better seeds (smaller numbers).</t>
  </si>
  <si>
    <t>Strong</t>
  </si>
  <si>
    <t>Winners usually had higher overall efficiency ratings.</t>
  </si>
  <si>
    <t>Biggest edges for winning teams</t>
  </si>
  <si>
    <t>Winners usually had stronger offenses.</t>
  </si>
  <si>
    <t>Moderate</t>
  </si>
  <si>
    <t>Winners usually had stingier defenses (lower is better).</t>
  </si>
  <si>
    <t>Winners usually had much stronger scoring-margin profiles.</t>
  </si>
  <si>
    <t>Winners usually shot a little more efficiently.</t>
  </si>
  <si>
    <t>Weak</t>
  </si>
  <si>
    <t>This one was not a clear edge for winners in the first 48 games.</t>
  </si>
  <si>
    <t>Quick read</t>
  </si>
  <si>
    <t>In these 48 completed games, the clearest winner traits were stronger net ratings, healthier rosters, and better seeds.</t>
  </si>
  <si>
    <t>Offensive rebounding was basically neutral in the first 48 games.</t>
  </si>
  <si>
    <t>Winners ended more possessions with defensive rebounds.</t>
  </si>
  <si>
    <t>3-point shooting gave winners a small edge.</t>
  </si>
  <si>
    <t>Winners were healthier on average (less injury drag).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</si>
</sst>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"/>
    <numFmt numFmtId="167" formatCode="0.0%"/>
  </numFmts>
  <fonts count="25" x14ac:knownFonts="1">
    <font>
      <sz val="10"/>
      <color rgb="FF000000"/>
      <name val="Calibri"/>
      <charset val="1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0000FF"/>
      <name val="Calibri"/>
      <family val="2"/>
    </font>
    <font>
      <b/>
      <sz val="11"/>
      <color rgb="FFFFFFFF"/>
      <name val="Cambria"/>
      <family val="1"/>
    </font>
    <font>
      <b/>
      <u/>
      <sz val="12"/>
      <color rgb="FFFFFFFF"/>
      <name val="Arial"/>
      <family val="2"/>
    </font>
    <font>
      <b/>
      <u/>
      <sz val="12"/>
      <color rgb="FFFFFFFF"/>
      <name val="Calibri"/>
      <family val="2"/>
    </font>
    <font>
      <b/>
      <sz val="12"/>
      <color rgb="FFFFFFFF"/>
      <name val="Arial"/>
      <family val="2"/>
    </font>
    <font>
      <b/>
      <sz val="12"/>
      <color rgb="FF2100B7"/>
      <name val="Arial"/>
      <family val="2"/>
    </font>
    <font>
      <b/>
      <sz val="12"/>
      <color rgb="FF000000"/>
      <name val="Calibri"/>
      <family val="2"/>
    </font>
    <font>
      <b/>
      <sz val="12"/>
      <color theme="7"/>
      <name val="Arial"/>
      <family val="2"/>
    </font>
    <font>
      <sz val="12"/>
      <color rgb="FF000000"/>
      <name val="Arial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u/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1"/>
      <color rgb="FF666666"/>
      <name val="Cambria"/>
      <family val="1"/>
    </font>
    <font>
      <b/>
      <sz val="16"/>
      <name val="Cambria"/>
      <family val="1"/>
    </font>
    <font>
      <b/>
      <sz val="14"/>
      <name val="Cambria"/>
      <family val="1"/>
    </font>
    <font>
      <b/>
      <sz val="13"/>
      <name val="Cambria"/>
      <family val="1"/>
    </font>
    <font>
      <b/>
      <sz val="11"/>
      <name val="Cambria"/>
      <family val="1"/>
    </font>
    <font>
      <sz val="11"/>
      <color rgb="FF008000"/>
      <name val="Cambria"/>
      <family val="1"/>
    </font>
    <font>
      <b/>
      <sz val="10"/>
      <color theme="0"/>
      <name val="Calibri"/>
      <family val="2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8F4FD"/>
      </patternFill>
    </fill>
    <fill>
      <patternFill patternType="solid">
        <fgColor rgb="FFE2F0D9"/>
        <bgColor rgb="FFD9EAF7"/>
      </patternFill>
    </fill>
    <fill>
      <patternFill patternType="solid">
        <fgColor rgb="FFE8F4FD"/>
        <bgColor rgb="FFF2F2F2"/>
      </patternFill>
    </fill>
    <fill>
      <patternFill patternType="solid">
        <fgColor rgb="FFF9FBFF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D9E2F3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9" borderId="0" xfId="0" applyFill="1" applyAlignment="1">
      <alignment wrapText="1"/>
    </xf>
    <xf numFmtId="0" fontId="17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" fontId="3" fillId="3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9" fontId="0" fillId="0" borderId="0" xfId="0" applyNumberFormat="1"/>
    <xf numFmtId="0" fontId="16" fillId="0" borderId="0" xfId="0" applyFont="1"/>
    <xf numFmtId="9" fontId="16" fillId="0" borderId="0" xfId="0" applyNumberFormat="1" applyFont="1"/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7" borderId="1" xfId="0" applyFill="1" applyBorder="1"/>
    <xf numFmtId="0" fontId="0" fillId="8" borderId="1" xfId="0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3" borderId="0" xfId="0" applyFill="1"/>
    <xf numFmtId="0" fontId="0" fillId="9" borderId="0" xfId="0" applyFill="1"/>
    <xf numFmtId="167" fontId="0" fillId="4" borderId="0" xfId="0" applyNumberFormat="1" applyFill="1"/>
    <xf numFmtId="167" fontId="0" fillId="0" borderId="1" xfId="0" applyNumberFormat="1" applyBorder="1"/>
    <xf numFmtId="0" fontId="20" fillId="0" borderId="0" xfId="0" applyFont="1"/>
    <xf numFmtId="167" fontId="0" fillId="0" borderId="0" xfId="0" applyNumberFormat="1"/>
    <xf numFmtId="0" fontId="21" fillId="0" borderId="0" xfId="0" applyFont="1"/>
    <xf numFmtId="0" fontId="22" fillId="0" borderId="0" xfId="0" applyFont="1"/>
    <xf numFmtId="0" fontId="1" fillId="0" borderId="1" xfId="0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4" fillId="10" borderId="0" xfId="0" applyFont="1" applyFill="1"/>
    <xf numFmtId="0" fontId="23" fillId="10" borderId="0" xfId="0" applyFont="1" applyFill="1" applyAlignment="1">
      <alignment horizontal="center"/>
    </xf>
    <xf numFmtId="0" fontId="13" fillId="0" borderId="0" xfId="0" applyFont="1" applyFill="1"/>
    <xf numFmtId="0" fontId="2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100B7"/>
      <rgbColor rgb="FF808000"/>
      <rgbColor rgb="FF800080"/>
      <rgbColor rgb="FF008080"/>
      <rgbColor rgb="FFF9FBFF"/>
      <rgbColor rgb="FF808080"/>
      <rgbColor rgb="FF9999FF"/>
      <rgbColor rgb="FF993366"/>
      <rgbColor rgb="FFFFF2CC"/>
      <rgbColor rgb="FFE8F4F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4A853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5"/>
  <sheetViews>
    <sheetView topLeftCell="A41" zoomScaleNormal="100" workbookViewId="0">
      <selection activeCell="A2" sqref="A2:A65"/>
    </sheetView>
  </sheetViews>
  <sheetFormatPr baseColWidth="10" defaultColWidth="41" defaultRowHeight="20" customHeight="1" x14ac:dyDescent="0.2"/>
  <sheetData>
    <row r="1" spans="1:10" ht="20" customHeight="1" x14ac:dyDescent="0.2">
      <c r="A1" s="18" t="s">
        <v>0</v>
      </c>
      <c r="B1" s="18" t="s">
        <v>1</v>
      </c>
      <c r="C1" s="18" t="s">
        <v>2</v>
      </c>
      <c r="D1" s="18" t="s">
        <v>99</v>
      </c>
      <c r="E1" s="18" t="s">
        <v>100</v>
      </c>
      <c r="F1" s="18" t="s">
        <v>177</v>
      </c>
      <c r="G1" s="18" t="s">
        <v>292</v>
      </c>
      <c r="H1" s="18" t="s">
        <v>293</v>
      </c>
      <c r="I1" s="18" t="s">
        <v>294</v>
      </c>
      <c r="J1" s="18" t="s">
        <v>295</v>
      </c>
    </row>
    <row r="2" spans="1:10" ht="20" customHeight="1" x14ac:dyDescent="0.2">
      <c r="A2" s="19" t="s">
        <v>21</v>
      </c>
      <c r="B2" s="19">
        <v>1</v>
      </c>
      <c r="C2" s="19" t="s">
        <v>22</v>
      </c>
      <c r="D2" s="19" t="s">
        <v>38</v>
      </c>
      <c r="E2" s="19">
        <f t="shared" ref="E2:E33" si="0">INDEX($B$2:$B$65, MATCH(D2, $A$2:$A$65, 0))</f>
        <v>16</v>
      </c>
      <c r="F2" s="19" t="s">
        <v>21</v>
      </c>
      <c r="G2" s="19">
        <v>1</v>
      </c>
      <c r="H2" s="19" t="s">
        <v>22</v>
      </c>
      <c r="I2" s="19" t="s">
        <v>38</v>
      </c>
      <c r="J2" s="19">
        <v>16</v>
      </c>
    </row>
    <row r="3" spans="1:10" ht="20" customHeight="1" x14ac:dyDescent="0.2">
      <c r="A3" s="19" t="s">
        <v>38</v>
      </c>
      <c r="B3" s="19">
        <v>16</v>
      </c>
      <c r="C3" s="19" t="s">
        <v>22</v>
      </c>
      <c r="D3" s="19" t="s">
        <v>21</v>
      </c>
      <c r="E3" s="19">
        <f t="shared" si="0"/>
        <v>1</v>
      </c>
      <c r="F3" s="19" t="s">
        <v>78</v>
      </c>
      <c r="G3" s="19">
        <v>1</v>
      </c>
      <c r="H3" s="19" t="s">
        <v>79</v>
      </c>
      <c r="I3" s="19" t="s">
        <v>96</v>
      </c>
      <c r="J3" s="19">
        <v>16</v>
      </c>
    </row>
    <row r="4" spans="1:10" ht="20" customHeight="1" x14ac:dyDescent="0.2">
      <c r="A4" s="19" t="s">
        <v>30</v>
      </c>
      <c r="B4" s="19">
        <v>8</v>
      </c>
      <c r="C4" s="19" t="s">
        <v>22</v>
      </c>
      <c r="D4" s="19" t="s">
        <v>31</v>
      </c>
      <c r="E4" s="19">
        <f t="shared" si="0"/>
        <v>9</v>
      </c>
      <c r="F4" s="19" t="s">
        <v>59</v>
      </c>
      <c r="G4" s="19">
        <v>1</v>
      </c>
      <c r="H4" s="19" t="s">
        <v>60</v>
      </c>
      <c r="I4" s="19" t="s">
        <v>77</v>
      </c>
      <c r="J4" s="19">
        <v>16</v>
      </c>
    </row>
    <row r="5" spans="1:10" ht="20" customHeight="1" x14ac:dyDescent="0.2">
      <c r="A5" s="19" t="s">
        <v>31</v>
      </c>
      <c r="B5" s="19">
        <v>9</v>
      </c>
      <c r="C5" s="19" t="s">
        <v>22</v>
      </c>
      <c r="D5" s="19" t="s">
        <v>30</v>
      </c>
      <c r="E5" s="19">
        <f t="shared" si="0"/>
        <v>8</v>
      </c>
      <c r="F5" s="19" t="s">
        <v>39</v>
      </c>
      <c r="G5" s="19">
        <v>1</v>
      </c>
      <c r="H5" s="19" t="s">
        <v>40</v>
      </c>
      <c r="I5" s="19" t="s">
        <v>58</v>
      </c>
      <c r="J5" s="19">
        <v>16</v>
      </c>
    </row>
    <row r="6" spans="1:10" ht="20" customHeight="1" x14ac:dyDescent="0.2">
      <c r="A6" s="19" t="s">
        <v>27</v>
      </c>
      <c r="B6" s="19">
        <v>5</v>
      </c>
      <c r="C6" s="19" t="s">
        <v>22</v>
      </c>
      <c r="D6" s="19" t="s">
        <v>34</v>
      </c>
      <c r="E6" s="19">
        <f t="shared" si="0"/>
        <v>12</v>
      </c>
      <c r="F6" s="19" t="s">
        <v>24</v>
      </c>
      <c r="G6" s="19">
        <v>2</v>
      </c>
      <c r="H6" s="19" t="s">
        <v>22</v>
      </c>
      <c r="I6" s="19" t="s">
        <v>37</v>
      </c>
      <c r="J6" s="19">
        <v>15</v>
      </c>
    </row>
    <row r="7" spans="1:10" ht="20" customHeight="1" x14ac:dyDescent="0.2">
      <c r="A7" s="19" t="s">
        <v>34</v>
      </c>
      <c r="B7" s="19">
        <v>12</v>
      </c>
      <c r="C7" s="19" t="s">
        <v>22</v>
      </c>
      <c r="D7" s="19" t="s">
        <v>27</v>
      </c>
      <c r="E7" s="19">
        <f t="shared" si="0"/>
        <v>5</v>
      </c>
      <c r="F7" s="19" t="s">
        <v>80</v>
      </c>
      <c r="G7" s="19">
        <v>2</v>
      </c>
      <c r="H7" s="19" t="s">
        <v>79</v>
      </c>
      <c r="I7" s="19" t="s">
        <v>95</v>
      </c>
      <c r="J7" s="19">
        <v>15</v>
      </c>
    </row>
    <row r="8" spans="1:10" ht="20" customHeight="1" x14ac:dyDescent="0.2">
      <c r="A8" s="19" t="s">
        <v>26</v>
      </c>
      <c r="B8" s="19">
        <v>4</v>
      </c>
      <c r="C8" s="19" t="s">
        <v>22</v>
      </c>
      <c r="D8" s="19" t="s">
        <v>35</v>
      </c>
      <c r="E8" s="19">
        <f t="shared" si="0"/>
        <v>13</v>
      </c>
      <c r="F8" s="19" t="s">
        <v>61</v>
      </c>
      <c r="G8" s="19">
        <v>2</v>
      </c>
      <c r="H8" s="19" t="s">
        <v>60</v>
      </c>
      <c r="I8" s="19" t="s">
        <v>74</v>
      </c>
      <c r="J8" s="19">
        <v>15</v>
      </c>
    </row>
    <row r="9" spans="1:10" ht="20" customHeight="1" x14ac:dyDescent="0.2">
      <c r="A9" s="19" t="s">
        <v>35</v>
      </c>
      <c r="B9" s="19">
        <v>13</v>
      </c>
      <c r="C9" s="19" t="s">
        <v>22</v>
      </c>
      <c r="D9" s="19" t="s">
        <v>26</v>
      </c>
      <c r="E9" s="19">
        <f t="shared" si="0"/>
        <v>4</v>
      </c>
      <c r="F9" s="19" t="s">
        <v>41</v>
      </c>
      <c r="G9" s="19">
        <v>2</v>
      </c>
      <c r="H9" s="19" t="s">
        <v>40</v>
      </c>
      <c r="I9" s="19" t="s">
        <v>57</v>
      </c>
      <c r="J9" s="19">
        <v>15</v>
      </c>
    </row>
    <row r="10" spans="1:10" ht="20" customHeight="1" x14ac:dyDescent="0.2">
      <c r="A10" s="19" t="s">
        <v>28</v>
      </c>
      <c r="B10" s="19">
        <v>6</v>
      </c>
      <c r="C10" s="19" t="s">
        <v>22</v>
      </c>
      <c r="D10" s="19" t="s">
        <v>33</v>
      </c>
      <c r="E10" s="19">
        <f t="shared" si="0"/>
        <v>11</v>
      </c>
      <c r="F10" s="19" t="s">
        <v>25</v>
      </c>
      <c r="G10" s="19">
        <v>3</v>
      </c>
      <c r="H10" s="19" t="s">
        <v>22</v>
      </c>
      <c r="I10" s="19" t="s">
        <v>36</v>
      </c>
      <c r="J10" s="19">
        <v>14</v>
      </c>
    </row>
    <row r="11" spans="1:10" ht="20" customHeight="1" x14ac:dyDescent="0.2">
      <c r="A11" s="19" t="s">
        <v>33</v>
      </c>
      <c r="B11" s="19">
        <v>11</v>
      </c>
      <c r="C11" s="19" t="s">
        <v>22</v>
      </c>
      <c r="D11" s="19" t="s">
        <v>28</v>
      </c>
      <c r="E11" s="19">
        <f t="shared" si="0"/>
        <v>6</v>
      </c>
      <c r="F11" s="19" t="s">
        <v>81</v>
      </c>
      <c r="G11" s="19">
        <v>3</v>
      </c>
      <c r="H11" s="19" t="s">
        <v>79</v>
      </c>
      <c r="I11" s="19" t="s">
        <v>94</v>
      </c>
      <c r="J11" s="19">
        <v>14</v>
      </c>
    </row>
    <row r="12" spans="1:10" ht="20" customHeight="1" x14ac:dyDescent="0.2">
      <c r="A12" s="19" t="s">
        <v>25</v>
      </c>
      <c r="B12" s="19">
        <v>3</v>
      </c>
      <c r="C12" s="19" t="s">
        <v>22</v>
      </c>
      <c r="D12" s="19" t="s">
        <v>36</v>
      </c>
      <c r="E12" s="19">
        <f t="shared" si="0"/>
        <v>14</v>
      </c>
      <c r="F12" s="19" t="s">
        <v>62</v>
      </c>
      <c r="G12" s="19">
        <v>3</v>
      </c>
      <c r="H12" s="19" t="s">
        <v>60</v>
      </c>
      <c r="I12" s="19" t="s">
        <v>73</v>
      </c>
      <c r="J12" s="19">
        <v>14</v>
      </c>
    </row>
    <row r="13" spans="1:10" ht="20" customHeight="1" x14ac:dyDescent="0.2">
      <c r="A13" s="19" t="s">
        <v>36</v>
      </c>
      <c r="B13" s="19">
        <v>14</v>
      </c>
      <c r="C13" s="19" t="s">
        <v>22</v>
      </c>
      <c r="D13" s="19" t="s">
        <v>25</v>
      </c>
      <c r="E13" s="19">
        <f t="shared" si="0"/>
        <v>3</v>
      </c>
      <c r="F13" s="19" t="s">
        <v>42</v>
      </c>
      <c r="G13" s="19">
        <v>3</v>
      </c>
      <c r="H13" s="19" t="s">
        <v>40</v>
      </c>
      <c r="I13" s="19" t="s">
        <v>56</v>
      </c>
      <c r="J13" s="19">
        <v>14</v>
      </c>
    </row>
    <row r="14" spans="1:10" ht="20" customHeight="1" x14ac:dyDescent="0.2">
      <c r="A14" s="19" t="s">
        <v>29</v>
      </c>
      <c r="B14" s="19">
        <v>7</v>
      </c>
      <c r="C14" s="19" t="s">
        <v>22</v>
      </c>
      <c r="D14" s="19" t="s">
        <v>32</v>
      </c>
      <c r="E14" s="19">
        <f t="shared" si="0"/>
        <v>10</v>
      </c>
      <c r="F14" s="19" t="s">
        <v>26</v>
      </c>
      <c r="G14" s="19">
        <v>4</v>
      </c>
      <c r="H14" s="19" t="s">
        <v>22</v>
      </c>
      <c r="I14" s="19" t="s">
        <v>35</v>
      </c>
      <c r="J14" s="19">
        <v>13</v>
      </c>
    </row>
    <row r="15" spans="1:10" ht="20" customHeight="1" x14ac:dyDescent="0.2">
      <c r="A15" s="19" t="s">
        <v>32</v>
      </c>
      <c r="B15" s="19">
        <v>10</v>
      </c>
      <c r="C15" s="19" t="s">
        <v>22</v>
      </c>
      <c r="D15" s="19" t="s">
        <v>29</v>
      </c>
      <c r="E15" s="19">
        <f t="shared" si="0"/>
        <v>7</v>
      </c>
      <c r="F15" s="19" t="s">
        <v>82</v>
      </c>
      <c r="G15" s="19">
        <v>4</v>
      </c>
      <c r="H15" s="19" t="s">
        <v>79</v>
      </c>
      <c r="I15" s="19" t="s">
        <v>93</v>
      </c>
      <c r="J15" s="19">
        <v>13</v>
      </c>
    </row>
    <row r="16" spans="1:10" ht="20" customHeight="1" x14ac:dyDescent="0.2">
      <c r="A16" s="19" t="s">
        <v>24</v>
      </c>
      <c r="B16" s="19">
        <v>2</v>
      </c>
      <c r="C16" s="19" t="s">
        <v>22</v>
      </c>
      <c r="D16" s="19" t="s">
        <v>37</v>
      </c>
      <c r="E16" s="19">
        <f t="shared" si="0"/>
        <v>15</v>
      </c>
      <c r="F16" s="19" t="s">
        <v>63</v>
      </c>
      <c r="G16" s="19">
        <v>4</v>
      </c>
      <c r="H16" s="19" t="s">
        <v>60</v>
      </c>
      <c r="I16" s="19" t="s">
        <v>72</v>
      </c>
      <c r="J16" s="19">
        <v>13</v>
      </c>
    </row>
    <row r="17" spans="1:10" ht="20" customHeight="1" x14ac:dyDescent="0.2">
      <c r="A17" s="19" t="s">
        <v>37</v>
      </c>
      <c r="B17" s="19">
        <v>15</v>
      </c>
      <c r="C17" s="19" t="s">
        <v>22</v>
      </c>
      <c r="D17" s="19" t="s">
        <v>24</v>
      </c>
      <c r="E17" s="19">
        <f t="shared" si="0"/>
        <v>2</v>
      </c>
      <c r="F17" s="19" t="s">
        <v>43</v>
      </c>
      <c r="G17" s="19">
        <v>4</v>
      </c>
      <c r="H17" s="19" t="s">
        <v>40</v>
      </c>
      <c r="I17" s="19" t="s">
        <v>55</v>
      </c>
      <c r="J17" s="19">
        <v>13</v>
      </c>
    </row>
    <row r="18" spans="1:10" ht="20" customHeight="1" x14ac:dyDescent="0.2">
      <c r="A18" s="19" t="s">
        <v>39</v>
      </c>
      <c r="B18" s="19">
        <v>1</v>
      </c>
      <c r="C18" s="19" t="s">
        <v>40</v>
      </c>
      <c r="D18" s="19" t="s">
        <v>58</v>
      </c>
      <c r="E18" s="19">
        <f t="shared" si="0"/>
        <v>16</v>
      </c>
      <c r="F18" s="19" t="s">
        <v>27</v>
      </c>
      <c r="G18" s="19">
        <v>5</v>
      </c>
      <c r="H18" s="19" t="s">
        <v>22</v>
      </c>
      <c r="I18" s="19" t="s">
        <v>34</v>
      </c>
      <c r="J18" s="19">
        <v>12</v>
      </c>
    </row>
    <row r="19" spans="1:10" ht="20" customHeight="1" x14ac:dyDescent="0.2">
      <c r="A19" s="19" t="s">
        <v>58</v>
      </c>
      <c r="B19" s="19">
        <v>16</v>
      </c>
      <c r="C19" s="19" t="s">
        <v>40</v>
      </c>
      <c r="D19" s="19" t="s">
        <v>39</v>
      </c>
      <c r="E19" s="19">
        <f t="shared" si="0"/>
        <v>1</v>
      </c>
      <c r="F19" s="19" t="s">
        <v>83</v>
      </c>
      <c r="G19" s="19">
        <v>5</v>
      </c>
      <c r="H19" s="19" t="s">
        <v>79</v>
      </c>
      <c r="I19" s="19" t="s">
        <v>92</v>
      </c>
      <c r="J19" s="19">
        <v>12</v>
      </c>
    </row>
    <row r="20" spans="1:10" ht="20" customHeight="1" x14ac:dyDescent="0.2">
      <c r="A20" s="19" t="s">
        <v>47</v>
      </c>
      <c r="B20" s="19">
        <v>8</v>
      </c>
      <c r="C20" s="19" t="s">
        <v>40</v>
      </c>
      <c r="D20" s="19" t="s">
        <v>48</v>
      </c>
      <c r="E20" s="19">
        <f t="shared" si="0"/>
        <v>9</v>
      </c>
      <c r="F20" s="19" t="s">
        <v>64</v>
      </c>
      <c r="G20" s="19">
        <v>5</v>
      </c>
      <c r="H20" s="19" t="s">
        <v>60</v>
      </c>
      <c r="I20" s="19" t="s">
        <v>71</v>
      </c>
      <c r="J20" s="19">
        <v>12</v>
      </c>
    </row>
    <row r="21" spans="1:10" ht="20" customHeight="1" x14ac:dyDescent="0.2">
      <c r="A21" s="19" t="s">
        <v>48</v>
      </c>
      <c r="B21" s="19">
        <v>9</v>
      </c>
      <c r="C21" s="19" t="s">
        <v>40</v>
      </c>
      <c r="D21" s="19" t="s">
        <v>47</v>
      </c>
      <c r="E21" s="19">
        <f t="shared" si="0"/>
        <v>8</v>
      </c>
      <c r="F21" s="19" t="s">
        <v>44</v>
      </c>
      <c r="G21" s="19">
        <v>5</v>
      </c>
      <c r="H21" s="19" t="s">
        <v>40</v>
      </c>
      <c r="I21" s="19" t="s">
        <v>54</v>
      </c>
      <c r="J21" s="19">
        <v>12</v>
      </c>
    </row>
    <row r="22" spans="1:10" ht="20" customHeight="1" x14ac:dyDescent="0.2">
      <c r="A22" s="19" t="s">
        <v>44</v>
      </c>
      <c r="B22" s="19">
        <v>5</v>
      </c>
      <c r="C22" s="19" t="s">
        <v>40</v>
      </c>
      <c r="D22" s="19" t="s">
        <v>54</v>
      </c>
      <c r="E22" s="19">
        <f t="shared" si="0"/>
        <v>12</v>
      </c>
      <c r="F22" s="19" t="s">
        <v>28</v>
      </c>
      <c r="G22" s="19">
        <v>6</v>
      </c>
      <c r="H22" s="19" t="s">
        <v>22</v>
      </c>
      <c r="I22" s="19" t="s">
        <v>33</v>
      </c>
      <c r="J22" s="19">
        <v>11</v>
      </c>
    </row>
    <row r="23" spans="1:10" ht="20" customHeight="1" x14ac:dyDescent="0.2">
      <c r="A23" s="19" t="s">
        <v>54</v>
      </c>
      <c r="B23" s="19">
        <v>12</v>
      </c>
      <c r="C23" s="19" t="s">
        <v>40</v>
      </c>
      <c r="D23" s="19" t="s">
        <v>44</v>
      </c>
      <c r="E23" s="19">
        <f t="shared" si="0"/>
        <v>5</v>
      </c>
      <c r="F23" s="19" t="s">
        <v>84</v>
      </c>
      <c r="G23" s="19">
        <v>6</v>
      </c>
      <c r="H23" s="19" t="s">
        <v>79</v>
      </c>
      <c r="I23" s="19" t="s">
        <v>89</v>
      </c>
      <c r="J23" s="19">
        <v>11</v>
      </c>
    </row>
    <row r="24" spans="1:10" ht="20" customHeight="1" x14ac:dyDescent="0.2">
      <c r="A24" s="19" t="s">
        <v>43</v>
      </c>
      <c r="B24" s="19">
        <v>4</v>
      </c>
      <c r="C24" s="19" t="s">
        <v>40</v>
      </c>
      <c r="D24" s="19" t="s">
        <v>55</v>
      </c>
      <c r="E24" s="19">
        <f t="shared" si="0"/>
        <v>13</v>
      </c>
      <c r="F24" s="19" t="s">
        <v>65</v>
      </c>
      <c r="G24" s="19">
        <v>6</v>
      </c>
      <c r="H24" s="19" t="s">
        <v>60</v>
      </c>
      <c r="I24" s="19" t="s">
        <v>70</v>
      </c>
      <c r="J24" s="19">
        <v>11</v>
      </c>
    </row>
    <row r="25" spans="1:10" ht="20" customHeight="1" x14ac:dyDescent="0.2">
      <c r="A25" s="19" t="s">
        <v>55</v>
      </c>
      <c r="B25" s="19">
        <v>13</v>
      </c>
      <c r="C25" s="19" t="s">
        <v>40</v>
      </c>
      <c r="D25" s="19" t="s">
        <v>43</v>
      </c>
      <c r="E25" s="19">
        <f t="shared" si="0"/>
        <v>4</v>
      </c>
      <c r="F25" s="19" t="s">
        <v>45</v>
      </c>
      <c r="G25" s="19">
        <v>6</v>
      </c>
      <c r="H25" s="19" t="s">
        <v>40</v>
      </c>
      <c r="I25" s="19" t="s">
        <v>53</v>
      </c>
      <c r="J25" s="19">
        <v>11</v>
      </c>
    </row>
    <row r="26" spans="1:10" ht="20" customHeight="1" x14ac:dyDescent="0.2">
      <c r="A26" s="19" t="s">
        <v>45</v>
      </c>
      <c r="B26" s="19">
        <v>6</v>
      </c>
      <c r="C26" s="19" t="s">
        <v>40</v>
      </c>
      <c r="D26" s="19" t="s">
        <v>53</v>
      </c>
      <c r="E26" s="19">
        <f t="shared" si="0"/>
        <v>11</v>
      </c>
      <c r="F26" s="19" t="s">
        <v>29</v>
      </c>
      <c r="G26" s="19">
        <v>7</v>
      </c>
      <c r="H26" s="19" t="s">
        <v>22</v>
      </c>
      <c r="I26" s="19" t="s">
        <v>32</v>
      </c>
      <c r="J26" s="19">
        <v>10</v>
      </c>
    </row>
    <row r="27" spans="1:10" ht="20" customHeight="1" x14ac:dyDescent="0.2">
      <c r="A27" s="19" t="s">
        <v>53</v>
      </c>
      <c r="B27" s="19">
        <v>11</v>
      </c>
      <c r="C27" s="19" t="s">
        <v>40</v>
      </c>
      <c r="D27" s="19" t="s">
        <v>45</v>
      </c>
      <c r="E27" s="19">
        <f t="shared" si="0"/>
        <v>6</v>
      </c>
      <c r="F27" s="19" t="s">
        <v>85</v>
      </c>
      <c r="G27" s="19">
        <v>7</v>
      </c>
      <c r="H27" s="19" t="s">
        <v>79</v>
      </c>
      <c r="I27" s="19" t="s">
        <v>88</v>
      </c>
      <c r="J27" s="19">
        <v>10</v>
      </c>
    </row>
    <row r="28" spans="1:10" ht="20" customHeight="1" x14ac:dyDescent="0.2">
      <c r="A28" s="19" t="s">
        <v>42</v>
      </c>
      <c r="B28" s="19">
        <v>3</v>
      </c>
      <c r="C28" s="19" t="s">
        <v>40</v>
      </c>
      <c r="D28" s="19" t="s">
        <v>56</v>
      </c>
      <c r="E28" s="19">
        <f t="shared" si="0"/>
        <v>14</v>
      </c>
      <c r="F28" s="19" t="s">
        <v>66</v>
      </c>
      <c r="G28" s="19">
        <v>7</v>
      </c>
      <c r="H28" s="19" t="s">
        <v>60</v>
      </c>
      <c r="I28" s="19" t="s">
        <v>69</v>
      </c>
      <c r="J28" s="19">
        <v>10</v>
      </c>
    </row>
    <row r="29" spans="1:10" ht="20" customHeight="1" x14ac:dyDescent="0.2">
      <c r="A29" s="19" t="s">
        <v>56</v>
      </c>
      <c r="B29" s="19">
        <v>14</v>
      </c>
      <c r="C29" s="19" t="s">
        <v>40</v>
      </c>
      <c r="D29" s="19" t="s">
        <v>42</v>
      </c>
      <c r="E29" s="19">
        <f t="shared" si="0"/>
        <v>3</v>
      </c>
      <c r="F29" s="19" t="s">
        <v>46</v>
      </c>
      <c r="G29" s="19">
        <v>7</v>
      </c>
      <c r="H29" s="19" t="s">
        <v>40</v>
      </c>
      <c r="I29" s="19" t="s">
        <v>49</v>
      </c>
      <c r="J29" s="19">
        <v>10</v>
      </c>
    </row>
    <row r="30" spans="1:10" ht="20" customHeight="1" x14ac:dyDescent="0.2">
      <c r="A30" s="19" t="s">
        <v>46</v>
      </c>
      <c r="B30" s="19">
        <v>7</v>
      </c>
      <c r="C30" s="19" t="s">
        <v>40</v>
      </c>
      <c r="D30" s="19" t="s">
        <v>49</v>
      </c>
      <c r="E30" s="19">
        <f t="shared" si="0"/>
        <v>10</v>
      </c>
      <c r="F30" s="19" t="s">
        <v>30</v>
      </c>
      <c r="G30" s="19">
        <v>8</v>
      </c>
      <c r="H30" s="19" t="s">
        <v>22</v>
      </c>
      <c r="I30" s="19" t="s">
        <v>31</v>
      </c>
      <c r="J30" s="19">
        <v>9</v>
      </c>
    </row>
    <row r="31" spans="1:10" ht="20" customHeight="1" x14ac:dyDescent="0.2">
      <c r="A31" s="19" t="s">
        <v>49</v>
      </c>
      <c r="B31" s="19">
        <v>10</v>
      </c>
      <c r="C31" s="19" t="s">
        <v>40</v>
      </c>
      <c r="D31" s="19" t="s">
        <v>46</v>
      </c>
      <c r="E31" s="19">
        <f t="shared" si="0"/>
        <v>7</v>
      </c>
      <c r="F31" s="19" t="s">
        <v>86</v>
      </c>
      <c r="G31" s="19">
        <v>8</v>
      </c>
      <c r="H31" s="19" t="s">
        <v>79</v>
      </c>
      <c r="I31" s="19" t="s">
        <v>87</v>
      </c>
      <c r="J31" s="19">
        <v>9</v>
      </c>
    </row>
    <row r="32" spans="1:10" ht="20" customHeight="1" x14ac:dyDescent="0.2">
      <c r="A32" s="19" t="s">
        <v>41</v>
      </c>
      <c r="B32" s="19">
        <v>2</v>
      </c>
      <c r="C32" s="19" t="s">
        <v>40</v>
      </c>
      <c r="D32" s="19" t="s">
        <v>57</v>
      </c>
      <c r="E32" s="19">
        <f t="shared" si="0"/>
        <v>15</v>
      </c>
      <c r="F32" s="19" t="s">
        <v>67</v>
      </c>
      <c r="G32" s="19">
        <v>8</v>
      </c>
      <c r="H32" s="19" t="s">
        <v>60</v>
      </c>
      <c r="I32" s="19" t="s">
        <v>68</v>
      </c>
      <c r="J32" s="19">
        <v>9</v>
      </c>
    </row>
    <row r="33" spans="1:10" ht="20" customHeight="1" x14ac:dyDescent="0.2">
      <c r="A33" s="19" t="s">
        <v>57</v>
      </c>
      <c r="B33" s="19">
        <v>15</v>
      </c>
      <c r="C33" s="19" t="s">
        <v>40</v>
      </c>
      <c r="D33" s="19" t="s">
        <v>41</v>
      </c>
      <c r="E33" s="19">
        <f t="shared" si="0"/>
        <v>2</v>
      </c>
      <c r="F33" s="19" t="s">
        <v>47</v>
      </c>
      <c r="G33" s="19">
        <v>8</v>
      </c>
      <c r="H33" s="19" t="s">
        <v>40</v>
      </c>
      <c r="I33" s="19" t="s">
        <v>48</v>
      </c>
      <c r="J33" s="19">
        <v>9</v>
      </c>
    </row>
    <row r="34" spans="1:10" ht="20" customHeight="1" x14ac:dyDescent="0.2">
      <c r="A34" s="19" t="s">
        <v>59</v>
      </c>
      <c r="B34" s="19">
        <v>1</v>
      </c>
      <c r="C34" s="19" t="s">
        <v>60</v>
      </c>
      <c r="D34" s="19" t="s">
        <v>77</v>
      </c>
      <c r="E34" s="19">
        <f t="shared" ref="E34:E65" si="1">INDEX($B$2:$B$65, MATCH(D34, $A$2:$A$65, 0))</f>
        <v>16</v>
      </c>
      <c r="F34" s="19" t="s">
        <v>31</v>
      </c>
      <c r="G34" s="19">
        <v>9</v>
      </c>
      <c r="H34" s="19" t="s">
        <v>22</v>
      </c>
      <c r="I34" s="19" t="s">
        <v>30</v>
      </c>
      <c r="J34" s="19">
        <v>8</v>
      </c>
    </row>
    <row r="35" spans="1:10" ht="20" customHeight="1" x14ac:dyDescent="0.2">
      <c r="A35" s="19" t="s">
        <v>77</v>
      </c>
      <c r="B35" s="19">
        <v>16</v>
      </c>
      <c r="C35" s="19" t="s">
        <v>60</v>
      </c>
      <c r="D35" s="19" t="s">
        <v>59</v>
      </c>
      <c r="E35" s="19">
        <f t="shared" si="1"/>
        <v>1</v>
      </c>
      <c r="F35" s="19" t="s">
        <v>87</v>
      </c>
      <c r="G35" s="19">
        <v>9</v>
      </c>
      <c r="H35" s="19" t="s">
        <v>79</v>
      </c>
      <c r="I35" s="19" t="s">
        <v>86</v>
      </c>
      <c r="J35" s="19">
        <v>8</v>
      </c>
    </row>
    <row r="36" spans="1:10" ht="20" customHeight="1" x14ac:dyDescent="0.2">
      <c r="A36" s="19" t="s">
        <v>67</v>
      </c>
      <c r="B36" s="19">
        <v>8</v>
      </c>
      <c r="C36" s="19" t="s">
        <v>60</v>
      </c>
      <c r="D36" s="19" t="s">
        <v>68</v>
      </c>
      <c r="E36" s="19">
        <f t="shared" si="1"/>
        <v>9</v>
      </c>
      <c r="F36" s="19" t="s">
        <v>68</v>
      </c>
      <c r="G36" s="19">
        <v>9</v>
      </c>
      <c r="H36" s="19" t="s">
        <v>60</v>
      </c>
      <c r="I36" s="19" t="s">
        <v>67</v>
      </c>
      <c r="J36" s="19">
        <v>8</v>
      </c>
    </row>
    <row r="37" spans="1:10" ht="20" customHeight="1" x14ac:dyDescent="0.2">
      <c r="A37" s="19" t="s">
        <v>68</v>
      </c>
      <c r="B37" s="19">
        <v>9</v>
      </c>
      <c r="C37" s="19" t="s">
        <v>60</v>
      </c>
      <c r="D37" s="19" t="s">
        <v>67</v>
      </c>
      <c r="E37" s="19">
        <f t="shared" si="1"/>
        <v>8</v>
      </c>
      <c r="F37" s="19" t="s">
        <v>48</v>
      </c>
      <c r="G37" s="19">
        <v>9</v>
      </c>
      <c r="H37" s="19" t="s">
        <v>40</v>
      </c>
      <c r="I37" s="19" t="s">
        <v>47</v>
      </c>
      <c r="J37" s="19">
        <v>8</v>
      </c>
    </row>
    <row r="38" spans="1:10" ht="20" customHeight="1" x14ac:dyDescent="0.2">
      <c r="A38" s="19" t="s">
        <v>64</v>
      </c>
      <c r="B38" s="19">
        <v>5</v>
      </c>
      <c r="C38" s="19" t="s">
        <v>60</v>
      </c>
      <c r="D38" s="19" t="s">
        <v>71</v>
      </c>
      <c r="E38" s="19">
        <f t="shared" si="1"/>
        <v>12</v>
      </c>
      <c r="F38" s="19" t="s">
        <v>32</v>
      </c>
      <c r="G38" s="19">
        <v>10</v>
      </c>
      <c r="H38" s="19" t="s">
        <v>22</v>
      </c>
      <c r="I38" s="19" t="s">
        <v>29</v>
      </c>
      <c r="J38" s="19">
        <v>7</v>
      </c>
    </row>
    <row r="39" spans="1:10" ht="20" customHeight="1" x14ac:dyDescent="0.2">
      <c r="A39" s="19" t="s">
        <v>71</v>
      </c>
      <c r="B39" s="19">
        <v>12</v>
      </c>
      <c r="C39" s="19" t="s">
        <v>60</v>
      </c>
      <c r="D39" s="19" t="s">
        <v>64</v>
      </c>
      <c r="E39" s="19">
        <f t="shared" si="1"/>
        <v>5</v>
      </c>
      <c r="F39" s="19" t="s">
        <v>88</v>
      </c>
      <c r="G39" s="19">
        <v>10</v>
      </c>
      <c r="H39" s="19" t="s">
        <v>79</v>
      </c>
      <c r="I39" s="19" t="s">
        <v>85</v>
      </c>
      <c r="J39" s="19">
        <v>7</v>
      </c>
    </row>
    <row r="40" spans="1:10" ht="20" customHeight="1" x14ac:dyDescent="0.2">
      <c r="A40" s="19" t="s">
        <v>63</v>
      </c>
      <c r="B40" s="19">
        <v>4</v>
      </c>
      <c r="C40" s="19" t="s">
        <v>60</v>
      </c>
      <c r="D40" s="19" t="s">
        <v>72</v>
      </c>
      <c r="E40" s="19">
        <f t="shared" si="1"/>
        <v>13</v>
      </c>
      <c r="F40" s="19" t="s">
        <v>69</v>
      </c>
      <c r="G40" s="19">
        <v>10</v>
      </c>
      <c r="H40" s="19" t="s">
        <v>60</v>
      </c>
      <c r="I40" s="19" t="s">
        <v>66</v>
      </c>
      <c r="J40" s="19">
        <v>7</v>
      </c>
    </row>
    <row r="41" spans="1:10" ht="20" customHeight="1" x14ac:dyDescent="0.2">
      <c r="A41" s="19" t="s">
        <v>72</v>
      </c>
      <c r="B41" s="19">
        <v>13</v>
      </c>
      <c r="C41" s="19" t="s">
        <v>60</v>
      </c>
      <c r="D41" s="19" t="s">
        <v>63</v>
      </c>
      <c r="E41" s="19">
        <f t="shared" si="1"/>
        <v>4</v>
      </c>
      <c r="F41" s="19" t="s">
        <v>49</v>
      </c>
      <c r="G41" s="19">
        <v>10</v>
      </c>
      <c r="H41" s="19" t="s">
        <v>40</v>
      </c>
      <c r="I41" s="19" t="s">
        <v>46</v>
      </c>
      <c r="J41" s="19">
        <v>7</v>
      </c>
    </row>
    <row r="42" spans="1:10" ht="20" customHeight="1" x14ac:dyDescent="0.2">
      <c r="A42" s="19" t="s">
        <v>65</v>
      </c>
      <c r="B42" s="19">
        <v>6</v>
      </c>
      <c r="C42" s="19" t="s">
        <v>60</v>
      </c>
      <c r="D42" s="19" t="s">
        <v>70</v>
      </c>
      <c r="E42" s="19">
        <f t="shared" si="1"/>
        <v>11</v>
      </c>
      <c r="F42" s="19" t="s">
        <v>33</v>
      </c>
      <c r="G42" s="19">
        <v>11</v>
      </c>
      <c r="H42" s="19" t="s">
        <v>22</v>
      </c>
      <c r="I42" s="19" t="s">
        <v>28</v>
      </c>
      <c r="J42" s="19">
        <v>6</v>
      </c>
    </row>
    <row r="43" spans="1:10" ht="20" customHeight="1" x14ac:dyDescent="0.2">
      <c r="A43" s="19" t="s">
        <v>70</v>
      </c>
      <c r="B43" s="19">
        <v>11</v>
      </c>
      <c r="C43" s="19" t="s">
        <v>60</v>
      </c>
      <c r="D43" s="19" t="s">
        <v>65</v>
      </c>
      <c r="E43" s="19">
        <f t="shared" si="1"/>
        <v>6</v>
      </c>
      <c r="F43" s="19" t="s">
        <v>89</v>
      </c>
      <c r="G43" s="19">
        <v>11</v>
      </c>
      <c r="H43" s="19" t="s">
        <v>79</v>
      </c>
      <c r="I43" s="19" t="s">
        <v>84</v>
      </c>
      <c r="J43" s="19">
        <v>6</v>
      </c>
    </row>
    <row r="44" spans="1:10" ht="20" customHeight="1" x14ac:dyDescent="0.2">
      <c r="A44" s="19" t="s">
        <v>62</v>
      </c>
      <c r="B44" s="19">
        <v>3</v>
      </c>
      <c r="C44" s="19" t="s">
        <v>60</v>
      </c>
      <c r="D44" s="19" t="s">
        <v>73</v>
      </c>
      <c r="E44" s="19">
        <f t="shared" si="1"/>
        <v>14</v>
      </c>
      <c r="F44" s="19" t="s">
        <v>70</v>
      </c>
      <c r="G44" s="19">
        <v>11</v>
      </c>
      <c r="H44" s="19" t="s">
        <v>60</v>
      </c>
      <c r="I44" s="19" t="s">
        <v>65</v>
      </c>
      <c r="J44" s="19">
        <v>6</v>
      </c>
    </row>
    <row r="45" spans="1:10" ht="20" customHeight="1" x14ac:dyDescent="0.2">
      <c r="A45" s="19" t="s">
        <v>73</v>
      </c>
      <c r="B45" s="19">
        <v>14</v>
      </c>
      <c r="C45" s="19" t="s">
        <v>60</v>
      </c>
      <c r="D45" s="19" t="s">
        <v>62</v>
      </c>
      <c r="E45" s="19">
        <f t="shared" si="1"/>
        <v>3</v>
      </c>
      <c r="F45" s="19" t="s">
        <v>53</v>
      </c>
      <c r="G45" s="19">
        <v>11</v>
      </c>
      <c r="H45" s="19" t="s">
        <v>40</v>
      </c>
      <c r="I45" s="19" t="s">
        <v>45</v>
      </c>
      <c r="J45" s="19">
        <v>6</v>
      </c>
    </row>
    <row r="46" spans="1:10" ht="20" customHeight="1" x14ac:dyDescent="0.2">
      <c r="A46" s="19" t="s">
        <v>66</v>
      </c>
      <c r="B46" s="19">
        <v>7</v>
      </c>
      <c r="C46" s="19" t="s">
        <v>60</v>
      </c>
      <c r="D46" s="19" t="s">
        <v>69</v>
      </c>
      <c r="E46" s="19">
        <f t="shared" si="1"/>
        <v>10</v>
      </c>
      <c r="F46" s="19" t="s">
        <v>34</v>
      </c>
      <c r="G46" s="19">
        <v>12</v>
      </c>
      <c r="H46" s="19" t="s">
        <v>22</v>
      </c>
      <c r="I46" s="19" t="s">
        <v>27</v>
      </c>
      <c r="J46" s="19">
        <v>5</v>
      </c>
    </row>
    <row r="47" spans="1:10" ht="20" customHeight="1" x14ac:dyDescent="0.2">
      <c r="A47" s="19" t="s">
        <v>69</v>
      </c>
      <c r="B47" s="19">
        <v>10</v>
      </c>
      <c r="C47" s="19" t="s">
        <v>60</v>
      </c>
      <c r="D47" s="19" t="s">
        <v>66</v>
      </c>
      <c r="E47" s="19">
        <f t="shared" si="1"/>
        <v>7</v>
      </c>
      <c r="F47" s="19" t="s">
        <v>92</v>
      </c>
      <c r="G47" s="19">
        <v>12</v>
      </c>
      <c r="H47" s="19" t="s">
        <v>79</v>
      </c>
      <c r="I47" s="19" t="s">
        <v>83</v>
      </c>
      <c r="J47" s="19">
        <v>5</v>
      </c>
    </row>
    <row r="48" spans="1:10" ht="20" customHeight="1" x14ac:dyDescent="0.2">
      <c r="A48" s="19" t="s">
        <v>61</v>
      </c>
      <c r="B48" s="19">
        <v>2</v>
      </c>
      <c r="C48" s="19" t="s">
        <v>60</v>
      </c>
      <c r="D48" s="19" t="s">
        <v>74</v>
      </c>
      <c r="E48" s="19">
        <f t="shared" si="1"/>
        <v>15</v>
      </c>
      <c r="F48" s="19" t="s">
        <v>71</v>
      </c>
      <c r="G48" s="19">
        <v>12</v>
      </c>
      <c r="H48" s="19" t="s">
        <v>60</v>
      </c>
      <c r="I48" s="19" t="s">
        <v>64</v>
      </c>
      <c r="J48" s="19">
        <v>5</v>
      </c>
    </row>
    <row r="49" spans="1:10" ht="20" customHeight="1" x14ac:dyDescent="0.2">
      <c r="A49" s="19" t="s">
        <v>74</v>
      </c>
      <c r="B49" s="19">
        <v>15</v>
      </c>
      <c r="C49" s="19" t="s">
        <v>60</v>
      </c>
      <c r="D49" s="19" t="s">
        <v>61</v>
      </c>
      <c r="E49" s="19">
        <f t="shared" si="1"/>
        <v>2</v>
      </c>
      <c r="F49" s="19" t="s">
        <v>54</v>
      </c>
      <c r="G49" s="19">
        <v>12</v>
      </c>
      <c r="H49" s="19" t="s">
        <v>40</v>
      </c>
      <c r="I49" s="19" t="s">
        <v>44</v>
      </c>
      <c r="J49" s="19">
        <v>5</v>
      </c>
    </row>
    <row r="50" spans="1:10" ht="20" customHeight="1" x14ac:dyDescent="0.2">
      <c r="A50" s="19" t="s">
        <v>78</v>
      </c>
      <c r="B50" s="19">
        <v>1</v>
      </c>
      <c r="C50" s="19" t="s">
        <v>79</v>
      </c>
      <c r="D50" s="19" t="s">
        <v>96</v>
      </c>
      <c r="E50" s="19">
        <f t="shared" si="1"/>
        <v>16</v>
      </c>
      <c r="F50" s="19" t="s">
        <v>35</v>
      </c>
      <c r="G50" s="19">
        <v>13</v>
      </c>
      <c r="H50" s="19" t="s">
        <v>22</v>
      </c>
      <c r="I50" s="19" t="s">
        <v>26</v>
      </c>
      <c r="J50" s="19">
        <v>4</v>
      </c>
    </row>
    <row r="51" spans="1:10" ht="20" customHeight="1" x14ac:dyDescent="0.2">
      <c r="A51" s="19" t="s">
        <v>96</v>
      </c>
      <c r="B51" s="19">
        <v>16</v>
      </c>
      <c r="C51" s="19" t="s">
        <v>79</v>
      </c>
      <c r="D51" s="19" t="s">
        <v>78</v>
      </c>
      <c r="E51" s="19">
        <f t="shared" si="1"/>
        <v>1</v>
      </c>
      <c r="F51" s="19" t="s">
        <v>93</v>
      </c>
      <c r="G51" s="19">
        <v>13</v>
      </c>
      <c r="H51" s="19" t="s">
        <v>79</v>
      </c>
      <c r="I51" s="19" t="s">
        <v>82</v>
      </c>
      <c r="J51" s="19">
        <v>4</v>
      </c>
    </row>
    <row r="52" spans="1:10" ht="20" customHeight="1" x14ac:dyDescent="0.2">
      <c r="A52" s="19" t="s">
        <v>86</v>
      </c>
      <c r="B52" s="19">
        <v>8</v>
      </c>
      <c r="C52" s="19" t="s">
        <v>79</v>
      </c>
      <c r="D52" s="19" t="s">
        <v>87</v>
      </c>
      <c r="E52" s="19">
        <f t="shared" si="1"/>
        <v>9</v>
      </c>
      <c r="F52" s="19" t="s">
        <v>72</v>
      </c>
      <c r="G52" s="19">
        <v>13</v>
      </c>
      <c r="H52" s="19" t="s">
        <v>60</v>
      </c>
      <c r="I52" s="19" t="s">
        <v>63</v>
      </c>
      <c r="J52" s="19">
        <v>4</v>
      </c>
    </row>
    <row r="53" spans="1:10" ht="20" customHeight="1" x14ac:dyDescent="0.2">
      <c r="A53" s="19" t="s">
        <v>87</v>
      </c>
      <c r="B53" s="19">
        <v>9</v>
      </c>
      <c r="C53" s="19" t="s">
        <v>79</v>
      </c>
      <c r="D53" s="19" t="s">
        <v>86</v>
      </c>
      <c r="E53" s="19">
        <f t="shared" si="1"/>
        <v>8</v>
      </c>
      <c r="F53" s="19" t="s">
        <v>55</v>
      </c>
      <c r="G53" s="19">
        <v>13</v>
      </c>
      <c r="H53" s="19" t="s">
        <v>40</v>
      </c>
      <c r="I53" s="19" t="s">
        <v>43</v>
      </c>
      <c r="J53" s="19">
        <v>4</v>
      </c>
    </row>
    <row r="54" spans="1:10" ht="20" customHeight="1" x14ac:dyDescent="0.2">
      <c r="A54" s="19" t="s">
        <v>83</v>
      </c>
      <c r="B54" s="19">
        <v>5</v>
      </c>
      <c r="C54" s="19" t="s">
        <v>79</v>
      </c>
      <c r="D54" s="19" t="s">
        <v>92</v>
      </c>
      <c r="E54" s="19">
        <f t="shared" si="1"/>
        <v>12</v>
      </c>
      <c r="F54" s="19" t="s">
        <v>36</v>
      </c>
      <c r="G54" s="19">
        <v>14</v>
      </c>
      <c r="H54" s="19" t="s">
        <v>22</v>
      </c>
      <c r="I54" s="19" t="s">
        <v>25</v>
      </c>
      <c r="J54" s="19">
        <v>3</v>
      </c>
    </row>
    <row r="55" spans="1:10" ht="20" customHeight="1" x14ac:dyDescent="0.2">
      <c r="A55" s="19" t="s">
        <v>92</v>
      </c>
      <c r="B55" s="19">
        <v>12</v>
      </c>
      <c r="C55" s="19" t="s">
        <v>79</v>
      </c>
      <c r="D55" s="19" t="s">
        <v>83</v>
      </c>
      <c r="E55" s="19">
        <f t="shared" si="1"/>
        <v>5</v>
      </c>
      <c r="F55" s="19" t="s">
        <v>94</v>
      </c>
      <c r="G55" s="19">
        <v>14</v>
      </c>
      <c r="H55" s="19" t="s">
        <v>79</v>
      </c>
      <c r="I55" s="19" t="s">
        <v>81</v>
      </c>
      <c r="J55" s="19">
        <v>3</v>
      </c>
    </row>
    <row r="56" spans="1:10" ht="20" customHeight="1" x14ac:dyDescent="0.2">
      <c r="A56" s="19" t="s">
        <v>82</v>
      </c>
      <c r="B56" s="19">
        <v>4</v>
      </c>
      <c r="C56" s="19" t="s">
        <v>79</v>
      </c>
      <c r="D56" s="19" t="s">
        <v>93</v>
      </c>
      <c r="E56" s="19">
        <f t="shared" si="1"/>
        <v>13</v>
      </c>
      <c r="F56" s="19" t="s">
        <v>73</v>
      </c>
      <c r="G56" s="19">
        <v>14</v>
      </c>
      <c r="H56" s="19" t="s">
        <v>60</v>
      </c>
      <c r="I56" s="19" t="s">
        <v>62</v>
      </c>
      <c r="J56" s="19">
        <v>3</v>
      </c>
    </row>
    <row r="57" spans="1:10" ht="20" customHeight="1" x14ac:dyDescent="0.2">
      <c r="A57" s="19" t="s">
        <v>93</v>
      </c>
      <c r="B57" s="19">
        <v>13</v>
      </c>
      <c r="C57" s="19" t="s">
        <v>79</v>
      </c>
      <c r="D57" s="19" t="s">
        <v>82</v>
      </c>
      <c r="E57" s="19">
        <f t="shared" si="1"/>
        <v>4</v>
      </c>
      <c r="F57" s="19" t="s">
        <v>56</v>
      </c>
      <c r="G57" s="19">
        <v>14</v>
      </c>
      <c r="H57" s="19" t="s">
        <v>40</v>
      </c>
      <c r="I57" s="19" t="s">
        <v>42</v>
      </c>
      <c r="J57" s="19">
        <v>3</v>
      </c>
    </row>
    <row r="58" spans="1:10" ht="20" customHeight="1" x14ac:dyDescent="0.2">
      <c r="A58" s="19" t="s">
        <v>84</v>
      </c>
      <c r="B58" s="19">
        <v>6</v>
      </c>
      <c r="C58" s="19" t="s">
        <v>79</v>
      </c>
      <c r="D58" s="19" t="s">
        <v>89</v>
      </c>
      <c r="E58" s="19">
        <f t="shared" si="1"/>
        <v>11</v>
      </c>
      <c r="F58" s="19" t="s">
        <v>37</v>
      </c>
      <c r="G58" s="19">
        <v>15</v>
      </c>
      <c r="H58" s="19" t="s">
        <v>22</v>
      </c>
      <c r="I58" s="19" t="s">
        <v>24</v>
      </c>
      <c r="J58" s="19">
        <v>2</v>
      </c>
    </row>
    <row r="59" spans="1:10" ht="20" customHeight="1" x14ac:dyDescent="0.2">
      <c r="A59" s="19" t="s">
        <v>89</v>
      </c>
      <c r="B59" s="19">
        <v>11</v>
      </c>
      <c r="C59" s="19" t="s">
        <v>79</v>
      </c>
      <c r="D59" s="19" t="s">
        <v>84</v>
      </c>
      <c r="E59" s="19">
        <f t="shared" si="1"/>
        <v>6</v>
      </c>
      <c r="F59" s="19" t="s">
        <v>95</v>
      </c>
      <c r="G59" s="19">
        <v>15</v>
      </c>
      <c r="H59" s="19" t="s">
        <v>79</v>
      </c>
      <c r="I59" s="19" t="s">
        <v>80</v>
      </c>
      <c r="J59" s="19">
        <v>2</v>
      </c>
    </row>
    <row r="60" spans="1:10" ht="20" customHeight="1" x14ac:dyDescent="0.2">
      <c r="A60" s="19" t="s">
        <v>81</v>
      </c>
      <c r="B60" s="19">
        <v>3</v>
      </c>
      <c r="C60" s="19" t="s">
        <v>79</v>
      </c>
      <c r="D60" s="19" t="s">
        <v>94</v>
      </c>
      <c r="E60" s="19">
        <f t="shared" si="1"/>
        <v>14</v>
      </c>
      <c r="F60" s="19" t="s">
        <v>74</v>
      </c>
      <c r="G60" s="19">
        <v>15</v>
      </c>
      <c r="H60" s="19" t="s">
        <v>60</v>
      </c>
      <c r="I60" s="19" t="s">
        <v>61</v>
      </c>
      <c r="J60" s="19">
        <v>2</v>
      </c>
    </row>
    <row r="61" spans="1:10" ht="20" customHeight="1" x14ac:dyDescent="0.2">
      <c r="A61" s="19" t="s">
        <v>94</v>
      </c>
      <c r="B61" s="19">
        <v>14</v>
      </c>
      <c r="C61" s="19" t="s">
        <v>79</v>
      </c>
      <c r="D61" s="19" t="s">
        <v>81</v>
      </c>
      <c r="E61" s="19">
        <f t="shared" si="1"/>
        <v>3</v>
      </c>
      <c r="F61" s="19" t="s">
        <v>57</v>
      </c>
      <c r="G61" s="19">
        <v>15</v>
      </c>
      <c r="H61" s="19" t="s">
        <v>40</v>
      </c>
      <c r="I61" s="19" t="s">
        <v>41</v>
      </c>
      <c r="J61" s="19">
        <v>2</v>
      </c>
    </row>
    <row r="62" spans="1:10" ht="20" customHeight="1" x14ac:dyDescent="0.2">
      <c r="A62" s="19" t="s">
        <v>85</v>
      </c>
      <c r="B62" s="19">
        <v>7</v>
      </c>
      <c r="C62" s="19" t="s">
        <v>79</v>
      </c>
      <c r="D62" s="19" t="s">
        <v>88</v>
      </c>
      <c r="E62" s="19">
        <f t="shared" si="1"/>
        <v>10</v>
      </c>
      <c r="F62" s="19" t="s">
        <v>38</v>
      </c>
      <c r="G62" s="19">
        <v>16</v>
      </c>
      <c r="H62" s="19" t="s">
        <v>22</v>
      </c>
      <c r="I62" s="19" t="s">
        <v>21</v>
      </c>
      <c r="J62" s="19">
        <v>1</v>
      </c>
    </row>
    <row r="63" spans="1:10" ht="20" customHeight="1" x14ac:dyDescent="0.2">
      <c r="A63" s="19" t="s">
        <v>88</v>
      </c>
      <c r="B63" s="19">
        <v>10</v>
      </c>
      <c r="C63" s="19" t="s">
        <v>79</v>
      </c>
      <c r="D63" s="19" t="s">
        <v>85</v>
      </c>
      <c r="E63" s="19">
        <f t="shared" si="1"/>
        <v>7</v>
      </c>
      <c r="F63" s="19" t="s">
        <v>96</v>
      </c>
      <c r="G63" s="19">
        <v>16</v>
      </c>
      <c r="H63" s="19" t="s">
        <v>79</v>
      </c>
      <c r="I63" s="19" t="s">
        <v>78</v>
      </c>
      <c r="J63" s="19">
        <v>1</v>
      </c>
    </row>
    <row r="64" spans="1:10" ht="20" customHeight="1" x14ac:dyDescent="0.2">
      <c r="A64" s="19" t="s">
        <v>80</v>
      </c>
      <c r="B64" s="19">
        <v>2</v>
      </c>
      <c r="C64" s="19" t="s">
        <v>79</v>
      </c>
      <c r="D64" s="19" t="s">
        <v>95</v>
      </c>
      <c r="E64" s="19">
        <f t="shared" si="1"/>
        <v>15</v>
      </c>
      <c r="F64" s="19" t="s">
        <v>77</v>
      </c>
      <c r="G64" s="19">
        <v>16</v>
      </c>
      <c r="H64" s="19" t="s">
        <v>60</v>
      </c>
      <c r="I64" s="19" t="s">
        <v>59</v>
      </c>
      <c r="J64" s="19">
        <v>1</v>
      </c>
    </row>
    <row r="65" spans="1:10" ht="20" customHeight="1" x14ac:dyDescent="0.2">
      <c r="A65" s="19" t="s">
        <v>95</v>
      </c>
      <c r="B65" s="19">
        <v>15</v>
      </c>
      <c r="C65" s="19" t="s">
        <v>79</v>
      </c>
      <c r="D65" s="19" t="s">
        <v>80</v>
      </c>
      <c r="E65" s="19">
        <f t="shared" si="1"/>
        <v>2</v>
      </c>
      <c r="F65" s="19" t="s">
        <v>58</v>
      </c>
      <c r="G65" s="19">
        <v>16</v>
      </c>
      <c r="H65" s="19" t="s">
        <v>40</v>
      </c>
      <c r="I65" s="19" t="s">
        <v>39</v>
      </c>
      <c r="J65" s="19">
        <v>1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9"/>
  <sheetViews>
    <sheetView topLeftCell="L1" zoomScaleNormal="100" workbookViewId="0">
      <selection activeCell="C2" sqref="C2"/>
    </sheetView>
  </sheetViews>
  <sheetFormatPr baseColWidth="10" defaultColWidth="41" defaultRowHeight="20" customHeight="1" x14ac:dyDescent="0.2"/>
  <sheetData>
    <row r="1" spans="1:15" ht="20" customHeight="1" x14ac:dyDescent="0.2">
      <c r="A1" s="20" t="s">
        <v>296</v>
      </c>
      <c r="B1" s="20" t="s">
        <v>0</v>
      </c>
      <c r="C1" s="21" t="s">
        <v>3</v>
      </c>
      <c r="D1" s="20" t="s">
        <v>4</v>
      </c>
      <c r="E1" s="20" t="s">
        <v>5</v>
      </c>
      <c r="F1" s="22" t="s">
        <v>101</v>
      </c>
      <c r="G1" s="22" t="s">
        <v>7</v>
      </c>
      <c r="H1" s="22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297</v>
      </c>
      <c r="O1" s="20" t="s">
        <v>298</v>
      </c>
    </row>
    <row r="2" spans="1:15" ht="20" customHeight="1" x14ac:dyDescent="0.2">
      <c r="A2" s="23">
        <v>1</v>
      </c>
      <c r="B2" s="24" t="s">
        <v>21</v>
      </c>
      <c r="C2" s="25">
        <v>0.98129999999999995</v>
      </c>
      <c r="D2" s="54">
        <v>128.19999999999999</v>
      </c>
      <c r="E2" s="54">
        <v>90.8</v>
      </c>
      <c r="F2" s="54">
        <f t="shared" ref="F2:F33" si="0">D2-E2</f>
        <v>37.399999999999991</v>
      </c>
      <c r="G2" s="54">
        <v>56.8</v>
      </c>
      <c r="H2" s="54">
        <v>46.2</v>
      </c>
      <c r="I2" s="54">
        <v>15.7</v>
      </c>
      <c r="J2" s="54">
        <v>18.100000000000001</v>
      </c>
      <c r="K2" s="54">
        <v>38.1</v>
      </c>
      <c r="L2" s="54">
        <v>24.8</v>
      </c>
      <c r="M2" s="54">
        <v>37.799999999999997</v>
      </c>
      <c r="N2" s="54">
        <v>35.1</v>
      </c>
      <c r="O2" s="54">
        <v>30.4</v>
      </c>
    </row>
    <row r="3" spans="1:15" ht="20" customHeight="1" x14ac:dyDescent="0.2">
      <c r="A3" s="23">
        <v>2</v>
      </c>
      <c r="B3" s="24" t="s">
        <v>78</v>
      </c>
      <c r="C3" s="25">
        <v>0.97989999999999999</v>
      </c>
      <c r="D3" s="54">
        <v>127.7</v>
      </c>
      <c r="E3" s="54">
        <v>91</v>
      </c>
      <c r="F3" s="54">
        <f t="shared" si="0"/>
        <v>36.700000000000003</v>
      </c>
      <c r="G3" s="54">
        <v>58.1</v>
      </c>
      <c r="H3" s="54">
        <v>44.7</v>
      </c>
      <c r="I3" s="54">
        <v>16.7</v>
      </c>
      <c r="J3" s="54">
        <v>15.5</v>
      </c>
      <c r="K3" s="54">
        <v>35.4</v>
      </c>
      <c r="L3" s="54">
        <v>27.7</v>
      </c>
      <c r="M3" s="54">
        <v>37.700000000000003</v>
      </c>
      <c r="N3" s="54">
        <v>36</v>
      </c>
      <c r="O3" s="54">
        <v>30.2</v>
      </c>
    </row>
    <row r="4" spans="1:15" ht="20" customHeight="1" x14ac:dyDescent="0.2">
      <c r="A4" s="23">
        <v>3</v>
      </c>
      <c r="B4" s="24" t="s">
        <v>39</v>
      </c>
      <c r="C4" s="25">
        <v>0.97760000000000002</v>
      </c>
      <c r="D4" s="54">
        <v>126.9</v>
      </c>
      <c r="E4" s="54">
        <v>91.4</v>
      </c>
      <c r="F4" s="54">
        <f t="shared" si="0"/>
        <v>35.5</v>
      </c>
      <c r="G4" s="54">
        <v>55.1</v>
      </c>
      <c r="H4" s="54">
        <v>45</v>
      </c>
      <c r="I4" s="54">
        <v>15.1</v>
      </c>
      <c r="J4" s="54">
        <v>16.7</v>
      </c>
      <c r="K4" s="54">
        <v>38.1</v>
      </c>
      <c r="L4" s="54">
        <v>26.9</v>
      </c>
      <c r="M4" s="54">
        <v>42.9</v>
      </c>
      <c r="N4" s="54">
        <v>36</v>
      </c>
      <c r="O4" s="54">
        <v>31.4</v>
      </c>
    </row>
    <row r="5" spans="1:15" ht="20" customHeight="1" x14ac:dyDescent="0.2">
      <c r="A5" s="23">
        <v>4</v>
      </c>
      <c r="B5" s="24" t="s">
        <v>59</v>
      </c>
      <c r="C5" s="25">
        <v>0.97319999999999995</v>
      </c>
      <c r="D5" s="54">
        <v>126.1</v>
      </c>
      <c r="E5" s="54">
        <v>92.3</v>
      </c>
      <c r="F5" s="54">
        <f t="shared" si="0"/>
        <v>33.799999999999997</v>
      </c>
      <c r="G5" s="54">
        <v>53.5</v>
      </c>
      <c r="H5" s="54">
        <v>46.3</v>
      </c>
      <c r="I5" s="54">
        <v>16.5</v>
      </c>
      <c r="J5" s="54">
        <v>15.4</v>
      </c>
      <c r="K5" s="54">
        <v>43.2</v>
      </c>
      <c r="L5" s="54">
        <v>24.8</v>
      </c>
      <c r="M5" s="54">
        <v>39.1</v>
      </c>
      <c r="N5" s="54">
        <v>30.8</v>
      </c>
      <c r="O5" s="54">
        <v>32.4</v>
      </c>
    </row>
    <row r="6" spans="1:15" ht="20" customHeight="1" x14ac:dyDescent="0.2">
      <c r="A6" s="23">
        <v>5</v>
      </c>
      <c r="B6" s="24" t="s">
        <v>61</v>
      </c>
      <c r="C6" s="25">
        <v>0.97089999999999999</v>
      </c>
      <c r="D6" s="54">
        <v>125.3</v>
      </c>
      <c r="E6" s="54">
        <v>92.4</v>
      </c>
      <c r="F6" s="54">
        <f t="shared" si="0"/>
        <v>32.899999999999991</v>
      </c>
      <c r="G6" s="54">
        <v>52.1</v>
      </c>
      <c r="H6" s="54">
        <v>46.6</v>
      </c>
      <c r="I6" s="54">
        <v>13</v>
      </c>
      <c r="J6" s="54">
        <v>21</v>
      </c>
      <c r="K6" s="54">
        <v>35.9</v>
      </c>
      <c r="L6" s="54">
        <v>30.9</v>
      </c>
      <c r="M6" s="54">
        <v>26.9</v>
      </c>
      <c r="N6" s="54">
        <v>34.9</v>
      </c>
      <c r="O6" s="54">
        <v>32.1</v>
      </c>
    </row>
    <row r="7" spans="1:15" ht="20" customHeight="1" x14ac:dyDescent="0.2">
      <c r="A7" s="23">
        <v>6</v>
      </c>
      <c r="B7" s="24" t="s">
        <v>62</v>
      </c>
      <c r="C7" s="25">
        <v>0.96760000000000002</v>
      </c>
      <c r="D7" s="54">
        <v>131.9</v>
      </c>
      <c r="E7" s="54">
        <v>98.2</v>
      </c>
      <c r="F7" s="54">
        <f t="shared" si="0"/>
        <v>33.700000000000003</v>
      </c>
      <c r="G7" s="54">
        <v>55.1</v>
      </c>
      <c r="H7" s="54">
        <v>47.6</v>
      </c>
      <c r="I7" s="54">
        <v>13.2</v>
      </c>
      <c r="J7" s="54">
        <v>11.6</v>
      </c>
      <c r="K7" s="54">
        <v>38.700000000000003</v>
      </c>
      <c r="L7" s="54">
        <v>27</v>
      </c>
      <c r="M7" s="54">
        <v>32.9</v>
      </c>
      <c r="N7" s="54">
        <v>34.700000000000003</v>
      </c>
      <c r="O7" s="54">
        <v>31.4</v>
      </c>
    </row>
    <row r="8" spans="1:15" ht="20" customHeight="1" x14ac:dyDescent="0.2">
      <c r="A8" s="23">
        <v>7</v>
      </c>
      <c r="B8" s="24" t="s">
        <v>80</v>
      </c>
      <c r="C8" s="25">
        <v>0.96550000000000002</v>
      </c>
      <c r="D8" s="54">
        <v>123.8</v>
      </c>
      <c r="E8" s="54">
        <v>92.6</v>
      </c>
      <c r="F8" s="54">
        <f t="shared" si="0"/>
        <v>31.200000000000003</v>
      </c>
      <c r="G8" s="54">
        <v>56.5</v>
      </c>
      <c r="H8" s="54">
        <v>49.5</v>
      </c>
      <c r="I8" s="54">
        <v>15.1</v>
      </c>
      <c r="J8" s="54">
        <v>22.4</v>
      </c>
      <c r="K8" s="54">
        <v>35.299999999999997</v>
      </c>
      <c r="L8" s="54">
        <v>28.1</v>
      </c>
      <c r="M8" s="54">
        <v>34</v>
      </c>
      <c r="N8" s="54">
        <v>38.700000000000003</v>
      </c>
      <c r="O8" s="54">
        <v>32.1</v>
      </c>
    </row>
    <row r="9" spans="1:15" ht="20" customHeight="1" x14ac:dyDescent="0.2">
      <c r="A9" s="23">
        <v>8</v>
      </c>
      <c r="B9" s="24" t="s">
        <v>41</v>
      </c>
      <c r="C9" s="25">
        <v>0.96360000000000001</v>
      </c>
      <c r="D9" s="54">
        <v>133.30000000000001</v>
      </c>
      <c r="E9" s="54">
        <v>100.3</v>
      </c>
      <c r="F9" s="54">
        <f t="shared" si="0"/>
        <v>33.000000000000014</v>
      </c>
      <c r="G9" s="54">
        <v>57.6</v>
      </c>
      <c r="H9" s="54">
        <v>52.3</v>
      </c>
      <c r="I9" s="54">
        <v>13.5</v>
      </c>
      <c r="J9" s="54">
        <v>15.6</v>
      </c>
      <c r="K9" s="54">
        <v>36.299999999999997</v>
      </c>
      <c r="L9" s="54">
        <v>26.4</v>
      </c>
      <c r="M9" s="54">
        <v>28.6</v>
      </c>
      <c r="N9" s="54">
        <v>37.9</v>
      </c>
      <c r="O9" s="54">
        <v>34.200000000000003</v>
      </c>
    </row>
    <row r="10" spans="1:15" ht="20" customHeight="1" x14ac:dyDescent="0.2">
      <c r="A10" s="23">
        <v>9</v>
      </c>
      <c r="B10" s="24" t="s">
        <v>24</v>
      </c>
      <c r="C10" s="25">
        <v>0.95169999999999999</v>
      </c>
      <c r="D10" s="54">
        <v>123.1</v>
      </c>
      <c r="E10" s="54">
        <v>95</v>
      </c>
      <c r="F10" s="54">
        <f t="shared" si="0"/>
        <v>28.099999999999994</v>
      </c>
      <c r="G10" s="54">
        <v>55.3</v>
      </c>
      <c r="H10" s="54">
        <v>45.7</v>
      </c>
      <c r="I10" s="55">
        <v>16.8</v>
      </c>
      <c r="J10" s="54">
        <v>18</v>
      </c>
      <c r="K10" s="54">
        <v>35.700000000000003</v>
      </c>
      <c r="L10" s="54">
        <v>28.7</v>
      </c>
      <c r="M10" s="54">
        <v>30</v>
      </c>
      <c r="N10" s="54">
        <v>35.200000000000003</v>
      </c>
      <c r="O10" s="54">
        <v>30.3</v>
      </c>
    </row>
    <row r="11" spans="1:15" ht="20" customHeight="1" x14ac:dyDescent="0.2">
      <c r="A11" s="23">
        <v>10</v>
      </c>
      <c r="B11" s="24" t="s">
        <v>64</v>
      </c>
      <c r="C11" s="25">
        <v>0.94610000000000005</v>
      </c>
      <c r="D11" s="54">
        <v>127.5</v>
      </c>
      <c r="E11" s="54">
        <v>99.4</v>
      </c>
      <c r="F11" s="54">
        <f t="shared" si="0"/>
        <v>28.099999999999994</v>
      </c>
      <c r="G11" s="54">
        <v>55.3</v>
      </c>
      <c r="H11" s="54">
        <v>48.8</v>
      </c>
      <c r="I11" s="54">
        <v>13.3</v>
      </c>
      <c r="J11" s="54">
        <v>17.899999999999999</v>
      </c>
      <c r="K11" s="54">
        <v>31.2</v>
      </c>
      <c r="L11" s="54">
        <v>31.6</v>
      </c>
      <c r="M11" s="54">
        <v>38.200000000000003</v>
      </c>
      <c r="N11" s="54">
        <v>35.5</v>
      </c>
      <c r="O11" s="54">
        <v>32.200000000000003</v>
      </c>
    </row>
    <row r="12" spans="1:15" ht="20" customHeight="1" x14ac:dyDescent="0.2">
      <c r="A12" s="23">
        <v>11</v>
      </c>
      <c r="B12" s="24" t="s">
        <v>42</v>
      </c>
      <c r="C12" s="25">
        <v>0.9446</v>
      </c>
      <c r="D12" s="54">
        <v>120.3</v>
      </c>
      <c r="E12" s="54">
        <v>94</v>
      </c>
      <c r="F12" s="54">
        <f t="shared" si="0"/>
        <v>26.299999999999997</v>
      </c>
      <c r="G12" s="54">
        <v>56.3</v>
      </c>
      <c r="H12" s="54">
        <v>46.2</v>
      </c>
      <c r="I12" s="54">
        <v>13.7</v>
      </c>
      <c r="J12" s="54">
        <v>20.5</v>
      </c>
      <c r="K12" s="54">
        <v>34.799999999999997</v>
      </c>
      <c r="L12" s="54">
        <v>25.9</v>
      </c>
      <c r="M12" s="54">
        <v>31.1</v>
      </c>
      <c r="N12" s="54">
        <v>34</v>
      </c>
      <c r="O12" s="54">
        <v>30.8</v>
      </c>
    </row>
    <row r="13" spans="1:15" ht="20" customHeight="1" x14ac:dyDescent="0.2">
      <c r="A13" s="23">
        <v>12</v>
      </c>
      <c r="B13" s="24" t="s">
        <v>83</v>
      </c>
      <c r="C13" s="25">
        <v>0.94389999999999996</v>
      </c>
      <c r="D13" s="54">
        <v>126.3</v>
      </c>
      <c r="E13" s="54">
        <v>98.8</v>
      </c>
      <c r="F13" s="54">
        <f t="shared" si="0"/>
        <v>27.5</v>
      </c>
      <c r="G13" s="54">
        <v>56.2</v>
      </c>
      <c r="H13" s="54">
        <v>49.4</v>
      </c>
      <c r="I13" s="54">
        <v>15.9</v>
      </c>
      <c r="J13" s="54">
        <v>14.7</v>
      </c>
      <c r="K13" s="54">
        <v>33.299999999999997</v>
      </c>
      <c r="L13" s="54">
        <v>30.1</v>
      </c>
      <c r="M13" s="54">
        <v>27.1</v>
      </c>
      <c r="N13" s="54">
        <v>39.299999999999997</v>
      </c>
      <c r="O13" s="54">
        <v>31.5</v>
      </c>
    </row>
    <row r="14" spans="1:15" ht="20" customHeight="1" x14ac:dyDescent="0.2">
      <c r="A14" s="23">
        <v>13</v>
      </c>
      <c r="B14" s="24" t="s">
        <v>25</v>
      </c>
      <c r="C14" s="25">
        <v>0.94379999999999997</v>
      </c>
      <c r="D14" s="54">
        <v>122.9</v>
      </c>
      <c r="E14" s="54">
        <v>96.2</v>
      </c>
      <c r="F14" s="54">
        <f t="shared" si="0"/>
        <v>26.700000000000003</v>
      </c>
      <c r="G14" s="54">
        <v>53.6</v>
      </c>
      <c r="H14" s="54">
        <v>48.6</v>
      </c>
      <c r="I14" s="54">
        <v>17.100000000000001</v>
      </c>
      <c r="J14" s="54">
        <v>14.8</v>
      </c>
      <c r="K14" s="54">
        <v>38.5</v>
      </c>
      <c r="L14" s="54">
        <v>22.6</v>
      </c>
      <c r="M14" s="54">
        <v>36.200000000000003</v>
      </c>
      <c r="N14" s="54">
        <v>35.9</v>
      </c>
      <c r="O14" s="54">
        <v>32.9</v>
      </c>
    </row>
    <row r="15" spans="1:15" ht="20" customHeight="1" x14ac:dyDescent="0.2">
      <c r="A15" s="23">
        <v>14</v>
      </c>
      <c r="B15" s="24" t="s">
        <v>81</v>
      </c>
      <c r="C15" s="25">
        <v>0.94269999999999998</v>
      </c>
      <c r="D15" s="54">
        <v>122.3</v>
      </c>
      <c r="E15" s="54">
        <v>95.8</v>
      </c>
      <c r="F15" s="54">
        <f t="shared" si="0"/>
        <v>26.5</v>
      </c>
      <c r="G15" s="54">
        <v>54.6</v>
      </c>
      <c r="H15" s="54">
        <v>45.3</v>
      </c>
      <c r="I15" s="54">
        <v>16</v>
      </c>
      <c r="J15" s="54">
        <v>15.6</v>
      </c>
      <c r="K15" s="54">
        <v>37.9</v>
      </c>
      <c r="L15" s="54">
        <v>29.2</v>
      </c>
      <c r="M15" s="54">
        <v>33</v>
      </c>
      <c r="N15" s="54">
        <v>35.9</v>
      </c>
      <c r="O15" s="54">
        <v>30.9</v>
      </c>
    </row>
    <row r="16" spans="1:15" ht="20" customHeight="1" x14ac:dyDescent="0.2">
      <c r="A16" s="23">
        <v>15</v>
      </c>
      <c r="B16" s="24" t="s">
        <v>27</v>
      </c>
      <c r="C16" s="25">
        <v>0.9415</v>
      </c>
      <c r="D16" s="54">
        <v>119.8</v>
      </c>
      <c r="E16" s="54">
        <v>94.1</v>
      </c>
      <c r="F16" s="54">
        <f t="shared" si="0"/>
        <v>25.700000000000003</v>
      </c>
      <c r="G16" s="54">
        <v>51</v>
      </c>
      <c r="H16" s="54">
        <v>47.4</v>
      </c>
      <c r="I16" s="54">
        <v>14.7</v>
      </c>
      <c r="J16" s="54">
        <v>19.399999999999999</v>
      </c>
      <c r="K16" s="54">
        <v>35.9</v>
      </c>
      <c r="L16" s="54">
        <v>30.2</v>
      </c>
      <c r="M16" s="54">
        <v>41.9</v>
      </c>
      <c r="N16" s="54">
        <v>33.200000000000003</v>
      </c>
      <c r="O16" s="54">
        <v>31.3</v>
      </c>
    </row>
    <row r="17" spans="1:15" ht="20" customHeight="1" x14ac:dyDescent="0.2">
      <c r="A17" s="23">
        <v>16</v>
      </c>
      <c r="B17" s="24" t="s">
        <v>84</v>
      </c>
      <c r="C17" s="25">
        <v>0.94079999999999997</v>
      </c>
      <c r="D17" s="54">
        <v>121.5</v>
      </c>
      <c r="E17" s="54">
        <v>95.5</v>
      </c>
      <c r="F17" s="54">
        <f t="shared" si="0"/>
        <v>26</v>
      </c>
      <c r="G17" s="54">
        <v>51.6</v>
      </c>
      <c r="H17" s="54">
        <v>47.7</v>
      </c>
      <c r="I17" s="54">
        <v>17.100000000000001</v>
      </c>
      <c r="J17" s="54">
        <v>16.3</v>
      </c>
      <c r="K17" s="54">
        <v>45.1</v>
      </c>
      <c r="L17" s="54">
        <v>27.9</v>
      </c>
      <c r="M17" s="54">
        <v>38.700000000000003</v>
      </c>
      <c r="N17" s="54">
        <v>33.4</v>
      </c>
      <c r="O17" s="54">
        <v>30.6</v>
      </c>
    </row>
    <row r="18" spans="1:15" ht="20" customHeight="1" x14ac:dyDescent="0.2">
      <c r="A18" s="23">
        <v>17</v>
      </c>
      <c r="B18" s="24" t="s">
        <v>28</v>
      </c>
      <c r="C18" s="25">
        <v>0.93640000000000001</v>
      </c>
      <c r="D18" s="54">
        <v>124</v>
      </c>
      <c r="E18" s="54">
        <v>98.2</v>
      </c>
      <c r="F18" s="54">
        <f t="shared" si="0"/>
        <v>25.799999999999997</v>
      </c>
      <c r="G18" s="54">
        <v>56.4</v>
      </c>
      <c r="H18" s="54">
        <v>48.8</v>
      </c>
      <c r="I18" s="54">
        <v>16.399999999999999</v>
      </c>
      <c r="J18" s="54">
        <v>16.7</v>
      </c>
      <c r="K18" s="54">
        <v>32.9</v>
      </c>
      <c r="L18" s="54">
        <v>26.9</v>
      </c>
      <c r="M18" s="54">
        <v>33.5</v>
      </c>
      <c r="N18" s="54">
        <v>35.700000000000003</v>
      </c>
      <c r="O18" s="54">
        <v>32.700000000000003</v>
      </c>
    </row>
    <row r="19" spans="1:15" ht="20" customHeight="1" x14ac:dyDescent="0.2">
      <c r="A19" s="23">
        <v>18</v>
      </c>
      <c r="B19" s="24" t="s">
        <v>82</v>
      </c>
      <c r="C19" s="25">
        <v>0.93440000000000001</v>
      </c>
      <c r="D19" s="54">
        <v>129.5</v>
      </c>
      <c r="E19" s="54">
        <v>102.8</v>
      </c>
      <c r="F19" s="54">
        <f t="shared" si="0"/>
        <v>26.700000000000003</v>
      </c>
      <c r="G19" s="54">
        <v>55.4</v>
      </c>
      <c r="H19" s="54">
        <v>49.2</v>
      </c>
      <c r="I19" s="54">
        <v>13</v>
      </c>
      <c r="J19" s="54">
        <v>12.6</v>
      </c>
      <c r="K19" s="54">
        <v>31.8</v>
      </c>
      <c r="L19" s="54">
        <v>32.799999999999997</v>
      </c>
      <c r="M19" s="54">
        <v>37.200000000000003</v>
      </c>
      <c r="N19" s="54">
        <v>35.799999999999997</v>
      </c>
      <c r="O19" s="54">
        <v>33.5</v>
      </c>
    </row>
    <row r="20" spans="1:15" ht="20" customHeight="1" x14ac:dyDescent="0.2">
      <c r="A20" s="23">
        <v>19</v>
      </c>
      <c r="B20" s="24" t="s">
        <v>43</v>
      </c>
      <c r="C20" s="25">
        <v>0.93369999999999997</v>
      </c>
      <c r="D20" s="54">
        <v>127.9</v>
      </c>
      <c r="E20" s="54">
        <v>101.6</v>
      </c>
      <c r="F20" s="54">
        <f t="shared" si="0"/>
        <v>26.300000000000011</v>
      </c>
      <c r="G20" s="54">
        <v>56.5</v>
      </c>
      <c r="H20" s="54">
        <v>51.4</v>
      </c>
      <c r="I20" s="54">
        <v>12.3</v>
      </c>
      <c r="J20" s="54">
        <v>15.7</v>
      </c>
      <c r="K20" s="54">
        <v>32.200000000000003</v>
      </c>
      <c r="L20" s="54">
        <v>31.2</v>
      </c>
      <c r="M20" s="54">
        <v>36.4</v>
      </c>
      <c r="N20" s="54">
        <v>38.9</v>
      </c>
      <c r="O20" s="54">
        <v>31.7</v>
      </c>
    </row>
    <row r="21" spans="1:15" ht="20" customHeight="1" x14ac:dyDescent="0.2">
      <c r="A21" s="23">
        <v>20</v>
      </c>
      <c r="B21" s="24" t="s">
        <v>63</v>
      </c>
      <c r="C21" s="25">
        <v>0.93079999999999996</v>
      </c>
      <c r="D21" s="54">
        <v>117.2</v>
      </c>
      <c r="E21" s="54">
        <v>93.5</v>
      </c>
      <c r="F21" s="54">
        <f t="shared" si="0"/>
        <v>23.700000000000003</v>
      </c>
      <c r="G21" s="54">
        <v>55.4</v>
      </c>
      <c r="H21" s="54">
        <v>47.8</v>
      </c>
      <c r="I21" s="54">
        <v>14.4</v>
      </c>
      <c r="J21" s="54">
        <v>19.2</v>
      </c>
      <c r="K21" s="54">
        <v>26.3</v>
      </c>
      <c r="L21" s="54">
        <v>27.7</v>
      </c>
      <c r="M21" s="54">
        <v>27.2</v>
      </c>
      <c r="N21" s="54">
        <v>35.299999999999997</v>
      </c>
      <c r="O21" s="54">
        <v>29.9</v>
      </c>
    </row>
    <row r="22" spans="1:15" ht="20" customHeight="1" x14ac:dyDescent="0.2">
      <c r="A22" s="23">
        <v>21</v>
      </c>
      <c r="B22" s="24" t="s">
        <v>44</v>
      </c>
      <c r="C22" s="25">
        <v>0.9294</v>
      </c>
      <c r="D22" s="54">
        <v>127.2</v>
      </c>
      <c r="E22" s="54">
        <v>101.6</v>
      </c>
      <c r="F22" s="54">
        <f t="shared" si="0"/>
        <v>25.600000000000009</v>
      </c>
      <c r="G22" s="54">
        <v>54.5</v>
      </c>
      <c r="H22" s="54">
        <v>51.3</v>
      </c>
      <c r="I22" s="54">
        <v>12.8</v>
      </c>
      <c r="J22" s="54">
        <v>14.4</v>
      </c>
      <c r="K22" s="54">
        <v>29.4</v>
      </c>
      <c r="L22" s="54">
        <v>28.2</v>
      </c>
      <c r="M22" s="54">
        <v>31.9</v>
      </c>
      <c r="N22" s="54">
        <v>36.1</v>
      </c>
      <c r="O22" s="54">
        <v>33.299999999999997</v>
      </c>
    </row>
    <row r="23" spans="1:15" ht="20" customHeight="1" x14ac:dyDescent="0.2">
      <c r="A23" s="23">
        <v>22</v>
      </c>
      <c r="B23" s="24" t="s">
        <v>26</v>
      </c>
      <c r="C23" s="25">
        <v>0.92779999999999996</v>
      </c>
      <c r="D23" s="54">
        <v>117.8</v>
      </c>
      <c r="E23" s="54">
        <v>94.4</v>
      </c>
      <c r="F23" s="54">
        <f t="shared" si="0"/>
        <v>23.399999999999991</v>
      </c>
      <c r="G23" s="54">
        <v>51.6</v>
      </c>
      <c r="H23" s="54">
        <v>45.2</v>
      </c>
      <c r="I23" s="54">
        <v>15.5</v>
      </c>
      <c r="J23" s="54">
        <v>14</v>
      </c>
      <c r="K23" s="54">
        <v>29.5</v>
      </c>
      <c r="L23" s="54">
        <v>30.1</v>
      </c>
      <c r="M23" s="54">
        <v>32.6</v>
      </c>
      <c r="N23" s="54">
        <v>35</v>
      </c>
      <c r="O23" s="54">
        <v>30.7</v>
      </c>
    </row>
    <row r="24" spans="1:15" ht="20" customHeight="1" x14ac:dyDescent="0.2">
      <c r="A24" s="23">
        <v>23</v>
      </c>
      <c r="B24" s="24" t="s">
        <v>30</v>
      </c>
      <c r="C24" s="25">
        <v>0.91720000000000002</v>
      </c>
      <c r="D24" s="54">
        <v>125.2</v>
      </c>
      <c r="E24" s="54">
        <v>101.6</v>
      </c>
      <c r="F24" s="54">
        <f t="shared" si="0"/>
        <v>23.600000000000009</v>
      </c>
      <c r="G24" s="54">
        <v>56.5</v>
      </c>
      <c r="H24" s="54">
        <v>50.3</v>
      </c>
      <c r="I24" s="54">
        <v>15.4</v>
      </c>
      <c r="J24" s="54">
        <v>15.8</v>
      </c>
      <c r="K24" s="54">
        <v>30.8</v>
      </c>
      <c r="L24" s="54">
        <v>30</v>
      </c>
      <c r="M24" s="54">
        <v>37.799999999999997</v>
      </c>
      <c r="N24" s="54">
        <v>36</v>
      </c>
      <c r="O24" s="54">
        <v>31.6</v>
      </c>
    </row>
    <row r="25" spans="1:15" ht="20" customHeight="1" x14ac:dyDescent="0.2">
      <c r="A25" s="23">
        <v>24</v>
      </c>
      <c r="B25" s="24" t="s">
        <v>29</v>
      </c>
      <c r="C25" s="25">
        <v>0.91069999999999995</v>
      </c>
      <c r="D25" s="54">
        <v>124.6</v>
      </c>
      <c r="E25" s="54">
        <v>101.8</v>
      </c>
      <c r="F25" s="54">
        <f t="shared" si="0"/>
        <v>22.799999999999997</v>
      </c>
      <c r="G25" s="54">
        <v>53.9</v>
      </c>
      <c r="H25" s="54">
        <v>50.4</v>
      </c>
      <c r="I25" s="54">
        <v>13.4</v>
      </c>
      <c r="J25" s="54">
        <v>18.100000000000001</v>
      </c>
      <c r="K25" s="54">
        <v>31.1</v>
      </c>
      <c r="L25" s="54">
        <v>32.4</v>
      </c>
      <c r="M25" s="54">
        <v>33.1</v>
      </c>
      <c r="N25" s="54">
        <v>38.200000000000003</v>
      </c>
      <c r="O25" s="54">
        <v>31.8</v>
      </c>
    </row>
    <row r="26" spans="1:15" ht="20" customHeight="1" x14ac:dyDescent="0.2">
      <c r="A26" s="23">
        <v>25</v>
      </c>
      <c r="B26" s="24" t="s">
        <v>66</v>
      </c>
      <c r="C26" s="25">
        <v>0.91059999999999997</v>
      </c>
      <c r="D26" s="54">
        <v>119.4</v>
      </c>
      <c r="E26" s="54">
        <v>97.5</v>
      </c>
      <c r="F26" s="54">
        <f t="shared" si="0"/>
        <v>21.900000000000006</v>
      </c>
      <c r="G26" s="54">
        <v>52.9</v>
      </c>
      <c r="H26" s="54">
        <v>46.7</v>
      </c>
      <c r="I26" s="54">
        <v>16.399999999999999</v>
      </c>
      <c r="J26" s="54">
        <v>15.2</v>
      </c>
      <c r="K26" s="54">
        <v>37.6</v>
      </c>
      <c r="L26" s="54">
        <v>23.8</v>
      </c>
      <c r="M26" s="54">
        <v>35.799999999999997</v>
      </c>
      <c r="N26" s="54">
        <v>38.6</v>
      </c>
      <c r="O26" s="54">
        <v>31.2</v>
      </c>
    </row>
    <row r="27" spans="1:15" ht="20" customHeight="1" x14ac:dyDescent="0.2">
      <c r="A27" s="23">
        <v>26</v>
      </c>
      <c r="B27" s="24" t="s">
        <v>68</v>
      </c>
      <c r="C27" s="25">
        <v>0.90680000000000005</v>
      </c>
      <c r="D27" s="54">
        <v>122.1</v>
      </c>
      <c r="E27" s="54">
        <v>100.2</v>
      </c>
      <c r="F27" s="54">
        <f t="shared" si="0"/>
        <v>21.899999999999991</v>
      </c>
      <c r="G27" s="54">
        <v>56.6</v>
      </c>
      <c r="H27" s="54">
        <v>52.7</v>
      </c>
      <c r="I27" s="54">
        <v>15.2</v>
      </c>
      <c r="J27" s="54">
        <v>21</v>
      </c>
      <c r="K27" s="54">
        <v>30.1</v>
      </c>
      <c r="L27" s="54">
        <v>28</v>
      </c>
      <c r="M27" s="54">
        <v>34.5</v>
      </c>
      <c r="N27" s="54">
        <v>35.700000000000003</v>
      </c>
      <c r="O27" s="54">
        <v>33.700000000000003</v>
      </c>
    </row>
    <row r="28" spans="1:15" ht="20" customHeight="1" x14ac:dyDescent="0.2">
      <c r="A28" s="23">
        <v>27</v>
      </c>
      <c r="B28" s="24" t="s">
        <v>65</v>
      </c>
      <c r="C28" s="25">
        <v>0.90300000000000002</v>
      </c>
      <c r="D28" s="54">
        <v>121.4</v>
      </c>
      <c r="E28" s="54">
        <v>100</v>
      </c>
      <c r="F28" s="54">
        <f t="shared" si="0"/>
        <v>21.400000000000006</v>
      </c>
      <c r="G28" s="54">
        <v>54.6</v>
      </c>
      <c r="H28" s="54">
        <v>48.2</v>
      </c>
      <c r="I28" s="54">
        <v>14</v>
      </c>
      <c r="J28" s="54">
        <v>13.6</v>
      </c>
      <c r="K28" s="54">
        <v>31.4</v>
      </c>
      <c r="L28" s="54">
        <v>28.1</v>
      </c>
      <c r="M28" s="54">
        <v>37.4</v>
      </c>
      <c r="N28" s="54">
        <v>34.5</v>
      </c>
      <c r="O28" s="54">
        <v>34.5</v>
      </c>
    </row>
    <row r="29" spans="1:15" ht="20" customHeight="1" x14ac:dyDescent="0.2">
      <c r="A29" s="23">
        <v>28</v>
      </c>
      <c r="B29" s="24" t="s">
        <v>48</v>
      </c>
      <c r="C29" s="25">
        <v>0.8952</v>
      </c>
      <c r="D29" s="54">
        <v>123</v>
      </c>
      <c r="E29" s="54">
        <v>102.1</v>
      </c>
      <c r="F29" s="54">
        <f t="shared" si="0"/>
        <v>20.900000000000006</v>
      </c>
      <c r="G29" s="54">
        <v>56.6</v>
      </c>
      <c r="H29" s="54">
        <v>49.6</v>
      </c>
      <c r="I29" s="54">
        <v>15.4</v>
      </c>
      <c r="J29" s="54">
        <v>20.6</v>
      </c>
      <c r="K29" s="54">
        <v>33.1</v>
      </c>
      <c r="L29" s="54">
        <v>32.200000000000003</v>
      </c>
      <c r="M29" s="54">
        <v>38.700000000000003</v>
      </c>
      <c r="N29" s="54">
        <v>35.1</v>
      </c>
      <c r="O29" s="54">
        <v>33.9</v>
      </c>
    </row>
    <row r="30" spans="1:15" ht="20" customHeight="1" x14ac:dyDescent="0.2">
      <c r="A30" s="23">
        <v>29</v>
      </c>
      <c r="B30" s="24" t="s">
        <v>88</v>
      </c>
      <c r="C30" s="25">
        <v>0.89500000000000002</v>
      </c>
      <c r="D30" s="54">
        <v>125</v>
      </c>
      <c r="E30" s="54">
        <v>103.8</v>
      </c>
      <c r="F30" s="54">
        <f t="shared" si="0"/>
        <v>21.200000000000003</v>
      </c>
      <c r="G30" s="54">
        <v>54.6</v>
      </c>
      <c r="H30" s="54">
        <v>51.8</v>
      </c>
      <c r="I30" s="54">
        <v>15.6</v>
      </c>
      <c r="J30" s="54">
        <v>20.100000000000001</v>
      </c>
      <c r="K30" s="54">
        <v>36.700000000000003</v>
      </c>
      <c r="L30" s="54">
        <v>32.299999999999997</v>
      </c>
      <c r="M30" s="54">
        <v>25.8</v>
      </c>
      <c r="N30" s="54">
        <v>34.9</v>
      </c>
      <c r="O30" s="54">
        <v>33</v>
      </c>
    </row>
    <row r="31" spans="1:15" ht="20" customHeight="1" x14ac:dyDescent="0.2">
      <c r="A31" s="23">
        <v>30</v>
      </c>
      <c r="B31" s="24" t="s">
        <v>67</v>
      </c>
      <c r="C31" s="25">
        <v>0.8921</v>
      </c>
      <c r="D31" s="54">
        <v>116.6</v>
      </c>
      <c r="E31" s="54">
        <v>97</v>
      </c>
      <c r="F31" s="54">
        <f t="shared" si="0"/>
        <v>19.599999999999994</v>
      </c>
      <c r="G31" s="54">
        <v>52.6</v>
      </c>
      <c r="H31" s="54">
        <v>48.9</v>
      </c>
      <c r="I31" s="54">
        <v>14.2</v>
      </c>
      <c r="J31" s="54">
        <v>17.5</v>
      </c>
      <c r="K31" s="54">
        <v>28.1</v>
      </c>
      <c r="L31" s="54">
        <v>25.7</v>
      </c>
      <c r="M31" s="54">
        <v>37.1</v>
      </c>
      <c r="N31" s="54">
        <v>34.1</v>
      </c>
      <c r="O31" s="54">
        <v>32.6</v>
      </c>
    </row>
    <row r="32" spans="1:15" ht="20" customHeight="1" x14ac:dyDescent="0.2">
      <c r="A32" s="23">
        <v>31</v>
      </c>
      <c r="B32" s="24" t="s">
        <v>85</v>
      </c>
      <c r="C32" s="25">
        <v>0.89</v>
      </c>
      <c r="D32" s="54">
        <v>119.9</v>
      </c>
      <c r="E32" s="54">
        <v>100</v>
      </c>
      <c r="F32" s="54">
        <f t="shared" si="0"/>
        <v>19.900000000000006</v>
      </c>
      <c r="G32" s="54">
        <v>53.1</v>
      </c>
      <c r="H32" s="54">
        <v>48.8</v>
      </c>
      <c r="I32" s="54">
        <v>15</v>
      </c>
      <c r="J32" s="54">
        <v>15.8</v>
      </c>
      <c r="K32" s="54">
        <v>33.799999999999997</v>
      </c>
      <c r="L32" s="54">
        <v>30.1</v>
      </c>
      <c r="M32" s="54">
        <v>37.5</v>
      </c>
      <c r="N32" s="54">
        <v>34.1</v>
      </c>
      <c r="O32" s="54">
        <v>31.6</v>
      </c>
    </row>
    <row r="33" spans="1:15" ht="20" customHeight="1" x14ac:dyDescent="0.2">
      <c r="A33" s="23">
        <v>33</v>
      </c>
      <c r="B33" s="24" t="s">
        <v>45</v>
      </c>
      <c r="C33" s="25">
        <v>0.88660000000000005</v>
      </c>
      <c r="D33" s="54">
        <v>124.8</v>
      </c>
      <c r="E33" s="54">
        <v>104.3</v>
      </c>
      <c r="F33" s="54">
        <f t="shared" si="0"/>
        <v>20.5</v>
      </c>
      <c r="G33" s="54">
        <v>54.7</v>
      </c>
      <c r="H33" s="54">
        <v>51.2</v>
      </c>
      <c r="I33" s="54">
        <v>15.3</v>
      </c>
      <c r="J33" s="54">
        <v>16.5</v>
      </c>
      <c r="K33" s="54">
        <v>34.6</v>
      </c>
      <c r="L33" s="54">
        <v>29.3</v>
      </c>
      <c r="M33" s="54">
        <v>34.200000000000003</v>
      </c>
      <c r="N33" s="54">
        <v>34.9</v>
      </c>
      <c r="O33" s="54">
        <v>35.299999999999997</v>
      </c>
    </row>
    <row r="34" spans="1:15" ht="20" customHeight="1" x14ac:dyDescent="0.2">
      <c r="A34" s="23">
        <v>35</v>
      </c>
      <c r="B34" s="24" t="s">
        <v>46</v>
      </c>
      <c r="C34" s="25">
        <v>0.88439999999999996</v>
      </c>
      <c r="D34" s="54">
        <v>121.1</v>
      </c>
      <c r="E34" s="54">
        <v>101.5</v>
      </c>
      <c r="F34" s="54">
        <f t="shared" ref="F34:F65" si="1">D34-E34</f>
        <v>19.599999999999994</v>
      </c>
      <c r="G34" s="54">
        <v>55.6</v>
      </c>
      <c r="H34" s="54">
        <v>51.7</v>
      </c>
      <c r="I34" s="54">
        <v>16.2</v>
      </c>
      <c r="J34" s="54">
        <v>18.399999999999999</v>
      </c>
      <c r="K34" s="54">
        <v>37</v>
      </c>
      <c r="L34" s="54">
        <v>26.3</v>
      </c>
      <c r="M34" s="54">
        <v>37.5</v>
      </c>
      <c r="N34" s="54">
        <v>34.700000000000003</v>
      </c>
      <c r="O34" s="54">
        <v>35.4</v>
      </c>
    </row>
    <row r="35" spans="1:15" ht="20" customHeight="1" x14ac:dyDescent="0.2">
      <c r="A35" s="23">
        <v>36</v>
      </c>
      <c r="B35" s="24" t="s">
        <v>47</v>
      </c>
      <c r="C35" s="25">
        <v>0.88029999999999997</v>
      </c>
      <c r="D35" s="54">
        <v>119.6</v>
      </c>
      <c r="E35" s="54">
        <v>100.5</v>
      </c>
      <c r="F35" s="54">
        <f t="shared" si="1"/>
        <v>19.099999999999994</v>
      </c>
      <c r="G35" s="54">
        <v>53.7</v>
      </c>
      <c r="H35" s="54">
        <v>51.3</v>
      </c>
      <c r="I35" s="54">
        <v>15.1</v>
      </c>
      <c r="J35" s="54">
        <v>18.7</v>
      </c>
      <c r="K35" s="54">
        <v>32.4</v>
      </c>
      <c r="L35" s="54">
        <v>31.7</v>
      </c>
      <c r="M35" s="54">
        <v>31.3</v>
      </c>
      <c r="N35" s="54">
        <v>35.299999999999997</v>
      </c>
      <c r="O35" s="54">
        <v>33.9</v>
      </c>
    </row>
    <row r="36" spans="1:15" ht="20" customHeight="1" x14ac:dyDescent="0.2">
      <c r="A36" s="23">
        <v>37</v>
      </c>
      <c r="B36" s="24" t="s">
        <v>86</v>
      </c>
      <c r="C36" s="25">
        <v>0.87770000000000004</v>
      </c>
      <c r="D36" s="54">
        <v>124.4</v>
      </c>
      <c r="E36" s="54">
        <v>104.8</v>
      </c>
      <c r="F36" s="54">
        <f t="shared" si="1"/>
        <v>19.600000000000009</v>
      </c>
      <c r="G36" s="54">
        <v>54.6</v>
      </c>
      <c r="H36" s="54">
        <v>50.1</v>
      </c>
      <c r="I36" s="54">
        <v>14.3</v>
      </c>
      <c r="J36" s="54">
        <v>18.399999999999999</v>
      </c>
      <c r="K36" s="54">
        <v>35.200000000000003</v>
      </c>
      <c r="L36" s="54">
        <v>34.9</v>
      </c>
      <c r="M36" s="54">
        <v>37</v>
      </c>
      <c r="N36" s="54">
        <v>34.1</v>
      </c>
      <c r="O36" s="54">
        <v>33.700000000000003</v>
      </c>
    </row>
    <row r="37" spans="1:15" ht="20" customHeight="1" x14ac:dyDescent="0.2">
      <c r="A37" s="23">
        <v>38</v>
      </c>
      <c r="B37" s="24" t="s">
        <v>299</v>
      </c>
      <c r="C37" s="25">
        <v>0.87609999999999999</v>
      </c>
      <c r="D37" s="54">
        <v>124.1</v>
      </c>
      <c r="E37" s="54">
        <v>104.7</v>
      </c>
      <c r="F37" s="54">
        <f t="shared" si="1"/>
        <v>19.399999999999991</v>
      </c>
      <c r="G37" s="54">
        <v>55.3</v>
      </c>
      <c r="H37" s="54">
        <v>53</v>
      </c>
      <c r="I37" s="54">
        <v>13.1</v>
      </c>
      <c r="J37" s="54">
        <v>18.2</v>
      </c>
      <c r="K37" s="54">
        <v>28.5</v>
      </c>
      <c r="L37" s="54">
        <v>30.3</v>
      </c>
      <c r="M37" s="54">
        <v>35.200000000000003</v>
      </c>
      <c r="N37" s="54">
        <v>38.799999999999997</v>
      </c>
      <c r="O37" s="54">
        <v>35.6</v>
      </c>
    </row>
    <row r="38" spans="1:15" ht="20" customHeight="1" x14ac:dyDescent="0.2">
      <c r="A38" s="23">
        <v>40</v>
      </c>
      <c r="B38" s="24" t="s">
        <v>69</v>
      </c>
      <c r="C38" s="25">
        <v>0.87209999999999999</v>
      </c>
      <c r="D38" s="54">
        <v>119.9</v>
      </c>
      <c r="E38" s="54">
        <v>101.4</v>
      </c>
      <c r="F38" s="54">
        <f t="shared" si="1"/>
        <v>18.5</v>
      </c>
      <c r="G38" s="54">
        <v>54.2</v>
      </c>
      <c r="H38" s="54">
        <v>50.8</v>
      </c>
      <c r="I38" s="54">
        <v>14.6</v>
      </c>
      <c r="J38" s="54">
        <v>18.3</v>
      </c>
      <c r="K38" s="54">
        <v>32.299999999999997</v>
      </c>
      <c r="L38" s="54">
        <v>32.5</v>
      </c>
      <c r="M38" s="54">
        <v>37.4</v>
      </c>
      <c r="N38" s="54">
        <v>36.200000000000003</v>
      </c>
      <c r="O38" s="54">
        <v>31.7</v>
      </c>
    </row>
    <row r="39" spans="1:15" ht="20" customHeight="1" x14ac:dyDescent="0.2">
      <c r="A39" s="23">
        <v>42</v>
      </c>
      <c r="B39" s="24" t="s">
        <v>90</v>
      </c>
      <c r="C39" s="25">
        <v>0.86080000000000001</v>
      </c>
      <c r="D39" s="54">
        <v>123</v>
      </c>
      <c r="E39" s="54">
        <v>105</v>
      </c>
      <c r="F39" s="54">
        <f t="shared" si="1"/>
        <v>18</v>
      </c>
      <c r="G39" s="54">
        <v>55.7</v>
      </c>
      <c r="H39" s="54">
        <v>51.4</v>
      </c>
      <c r="I39" s="54">
        <v>15.9</v>
      </c>
      <c r="J39" s="54">
        <v>17.100000000000001</v>
      </c>
      <c r="K39" s="54">
        <v>35.4</v>
      </c>
      <c r="L39" s="54">
        <v>31.6</v>
      </c>
      <c r="M39" s="54">
        <v>30.6</v>
      </c>
      <c r="N39" s="54">
        <v>37.4</v>
      </c>
      <c r="O39" s="54">
        <v>33.9</v>
      </c>
    </row>
    <row r="40" spans="1:15" ht="20" customHeight="1" x14ac:dyDescent="0.2">
      <c r="A40" s="23">
        <v>43</v>
      </c>
      <c r="B40" s="24" t="s">
        <v>87</v>
      </c>
      <c r="C40" s="25">
        <v>0.85729999999999995</v>
      </c>
      <c r="D40" s="54">
        <v>119.5</v>
      </c>
      <c r="E40" s="54">
        <v>102.3</v>
      </c>
      <c r="F40" s="54">
        <f t="shared" si="1"/>
        <v>17.200000000000003</v>
      </c>
      <c r="G40" s="54">
        <v>59.7</v>
      </c>
      <c r="H40" s="54">
        <v>44.8</v>
      </c>
      <c r="I40" s="54">
        <v>17.399999999999999</v>
      </c>
      <c r="J40" s="54">
        <v>16.100000000000001</v>
      </c>
      <c r="K40" s="54">
        <v>31.1</v>
      </c>
      <c r="L40" s="54">
        <v>27</v>
      </c>
      <c r="M40" s="54">
        <v>34.700000000000003</v>
      </c>
      <c r="N40" s="54">
        <v>40.5</v>
      </c>
      <c r="O40" s="54">
        <v>30</v>
      </c>
    </row>
    <row r="41" spans="1:15" ht="20" customHeight="1" x14ac:dyDescent="0.2">
      <c r="A41" s="23">
        <v>45</v>
      </c>
      <c r="B41" s="24" t="s">
        <v>53</v>
      </c>
      <c r="C41" s="25">
        <v>0.85360000000000003</v>
      </c>
      <c r="D41" s="54">
        <v>124</v>
      </c>
      <c r="E41" s="54">
        <v>106.4</v>
      </c>
      <c r="F41" s="54">
        <f t="shared" si="1"/>
        <v>17.599999999999994</v>
      </c>
      <c r="G41" s="54">
        <v>54.2</v>
      </c>
      <c r="H41" s="54">
        <v>51.2</v>
      </c>
      <c r="I41" s="54">
        <v>15.3</v>
      </c>
      <c r="J41" s="54">
        <v>13.4</v>
      </c>
      <c r="K41" s="54">
        <v>35.700000000000003</v>
      </c>
      <c r="L41" s="54">
        <v>26.9</v>
      </c>
      <c r="M41" s="54">
        <v>46.2</v>
      </c>
      <c r="N41" s="54">
        <v>34.9</v>
      </c>
      <c r="O41" s="54">
        <v>36</v>
      </c>
    </row>
    <row r="42" spans="1:15" ht="20" customHeight="1" x14ac:dyDescent="0.2">
      <c r="A42" s="23">
        <v>46</v>
      </c>
      <c r="B42" s="24" t="s">
        <v>49</v>
      </c>
      <c r="C42" s="25">
        <v>0.85150000000000003</v>
      </c>
      <c r="D42" s="54">
        <v>119.9</v>
      </c>
      <c r="E42" s="54">
        <v>103</v>
      </c>
      <c r="F42" s="54">
        <f t="shared" si="1"/>
        <v>16.900000000000006</v>
      </c>
      <c r="G42" s="54">
        <v>55.3</v>
      </c>
      <c r="H42" s="54">
        <v>51.4</v>
      </c>
      <c r="I42" s="54">
        <v>18</v>
      </c>
      <c r="J42" s="54">
        <v>16.600000000000001</v>
      </c>
      <c r="K42" s="54">
        <v>35.5</v>
      </c>
      <c r="L42" s="54">
        <v>31.4</v>
      </c>
      <c r="M42" s="54">
        <v>42.5</v>
      </c>
      <c r="N42" s="54">
        <v>35</v>
      </c>
      <c r="O42" s="54">
        <v>36.5</v>
      </c>
    </row>
    <row r="43" spans="1:15" ht="20" customHeight="1" x14ac:dyDescent="0.2">
      <c r="A43" s="23">
        <v>48</v>
      </c>
      <c r="B43" s="24" t="s">
        <v>70</v>
      </c>
      <c r="C43" s="25">
        <v>0.84330000000000005</v>
      </c>
      <c r="D43" s="54">
        <v>119.3</v>
      </c>
      <c r="E43" s="54">
        <v>103</v>
      </c>
      <c r="F43" s="54">
        <f t="shared" si="1"/>
        <v>16.299999999999997</v>
      </c>
      <c r="G43" s="54">
        <v>54.1</v>
      </c>
      <c r="H43" s="54">
        <v>48.9</v>
      </c>
      <c r="I43" s="54">
        <v>15.2</v>
      </c>
      <c r="J43" s="54">
        <v>17.2</v>
      </c>
      <c r="K43" s="54">
        <v>32.299999999999997</v>
      </c>
      <c r="L43" s="54">
        <v>29.9</v>
      </c>
      <c r="M43" s="54">
        <v>43.7</v>
      </c>
      <c r="N43" s="54">
        <v>36.700000000000003</v>
      </c>
      <c r="O43" s="54">
        <v>33.1</v>
      </c>
    </row>
    <row r="44" spans="1:15" ht="20" customHeight="1" x14ac:dyDescent="0.2">
      <c r="A44" s="23">
        <v>49</v>
      </c>
      <c r="B44" s="24" t="s">
        <v>31</v>
      </c>
      <c r="C44" s="25">
        <v>0.8367</v>
      </c>
      <c r="D44" s="54">
        <v>114.9</v>
      </c>
      <c r="E44" s="54">
        <v>99.6</v>
      </c>
      <c r="F44" s="54">
        <f t="shared" si="1"/>
        <v>15.300000000000011</v>
      </c>
      <c r="G44" s="54">
        <v>50.9</v>
      </c>
      <c r="H44" s="54">
        <v>51</v>
      </c>
      <c r="I44" s="54">
        <v>15.5</v>
      </c>
      <c r="J44" s="54">
        <v>19.7</v>
      </c>
      <c r="K44" s="54">
        <v>34.4</v>
      </c>
      <c r="L44" s="54">
        <v>29.2</v>
      </c>
      <c r="M44" s="54">
        <v>38.700000000000003</v>
      </c>
      <c r="N44" s="54">
        <v>33.1</v>
      </c>
      <c r="O44" s="54">
        <v>33.700000000000003</v>
      </c>
    </row>
    <row r="45" spans="1:15" ht="20" customHeight="1" x14ac:dyDescent="0.2">
      <c r="A45" s="23">
        <v>50</v>
      </c>
      <c r="B45" s="24" t="s">
        <v>33</v>
      </c>
      <c r="C45" s="25">
        <v>0.83560000000000001</v>
      </c>
      <c r="D45" s="54">
        <v>116.8</v>
      </c>
      <c r="E45" s="54">
        <v>101.4</v>
      </c>
      <c r="F45" s="54">
        <f t="shared" si="1"/>
        <v>15.399999999999991</v>
      </c>
      <c r="G45" s="54">
        <v>50.9</v>
      </c>
      <c r="H45" s="54">
        <v>48.4</v>
      </c>
      <c r="I45" s="54">
        <v>15.2</v>
      </c>
      <c r="J45" s="54">
        <v>18.8</v>
      </c>
      <c r="K45" s="54">
        <v>38.200000000000003</v>
      </c>
      <c r="L45" s="54">
        <v>31.8</v>
      </c>
      <c r="M45" s="54">
        <v>41.1</v>
      </c>
      <c r="N45" s="54">
        <v>33.1</v>
      </c>
      <c r="O45" s="54">
        <v>33.9</v>
      </c>
    </row>
    <row r="46" spans="1:15" ht="20" customHeight="1" x14ac:dyDescent="0.2">
      <c r="A46" s="23">
        <v>57</v>
      </c>
      <c r="B46" s="24" t="s">
        <v>32</v>
      </c>
      <c r="C46" s="25">
        <v>0.81159999999999999</v>
      </c>
      <c r="D46" s="54">
        <v>120</v>
      </c>
      <c r="E46" s="54">
        <v>105.7</v>
      </c>
      <c r="F46" s="54">
        <f t="shared" si="1"/>
        <v>14.299999999999997</v>
      </c>
      <c r="G46" s="54">
        <v>52.8</v>
      </c>
      <c r="H46" s="54">
        <v>52.4</v>
      </c>
      <c r="I46" s="54">
        <v>15.7</v>
      </c>
      <c r="J46" s="54">
        <v>15.8</v>
      </c>
      <c r="K46" s="54">
        <v>34.4</v>
      </c>
      <c r="L46" s="54">
        <v>28.5</v>
      </c>
      <c r="M46" s="54">
        <v>30.8</v>
      </c>
      <c r="N46" s="54">
        <v>36.200000000000003</v>
      </c>
      <c r="O46" s="54">
        <v>34</v>
      </c>
    </row>
    <row r="47" spans="1:15" ht="20" customHeight="1" x14ac:dyDescent="0.2">
      <c r="A47" s="23">
        <v>69</v>
      </c>
      <c r="B47" s="24" t="s">
        <v>34</v>
      </c>
      <c r="C47" s="25">
        <v>0.7752</v>
      </c>
      <c r="D47" s="54">
        <v>109.8</v>
      </c>
      <c r="E47" s="54">
        <v>98.6</v>
      </c>
      <c r="F47" s="54">
        <f t="shared" si="1"/>
        <v>11.200000000000003</v>
      </c>
      <c r="G47" s="54">
        <v>54.2</v>
      </c>
      <c r="H47" s="54">
        <v>47.2</v>
      </c>
      <c r="I47" s="54">
        <v>14.6</v>
      </c>
      <c r="J47" s="54">
        <v>18.100000000000001</v>
      </c>
      <c r="K47" s="54">
        <v>22</v>
      </c>
      <c r="L47" s="54">
        <v>26.3</v>
      </c>
      <c r="M47" s="54">
        <v>25.7</v>
      </c>
      <c r="N47" s="54">
        <v>34.9</v>
      </c>
      <c r="O47" s="54">
        <v>28.9</v>
      </c>
    </row>
    <row r="48" spans="1:15" ht="20" customHeight="1" x14ac:dyDescent="0.2">
      <c r="A48" s="23">
        <v>71</v>
      </c>
      <c r="B48" s="24" t="s">
        <v>92</v>
      </c>
      <c r="C48" s="25">
        <v>0.77249999999999996</v>
      </c>
      <c r="D48" s="54">
        <v>117.2</v>
      </c>
      <c r="E48" s="54">
        <v>105.4</v>
      </c>
      <c r="F48" s="54">
        <f t="shared" si="1"/>
        <v>11.799999999999997</v>
      </c>
      <c r="G48" s="54">
        <v>58.5</v>
      </c>
      <c r="H48" s="54">
        <v>50.6</v>
      </c>
      <c r="I48" s="54">
        <v>15.5</v>
      </c>
      <c r="J48" s="54">
        <v>18.399999999999999</v>
      </c>
      <c r="K48" s="54">
        <v>33.5</v>
      </c>
      <c r="L48" s="54">
        <v>29.9</v>
      </c>
      <c r="M48" s="54">
        <v>29.1</v>
      </c>
      <c r="N48" s="54">
        <v>38.5</v>
      </c>
      <c r="O48" s="54">
        <v>35.1</v>
      </c>
    </row>
    <row r="49" spans="1:15" ht="20" customHeight="1" x14ac:dyDescent="0.2">
      <c r="A49" s="26">
        <v>73</v>
      </c>
      <c r="B49" s="24" t="s">
        <v>71</v>
      </c>
      <c r="C49" s="25">
        <v>0.76480000000000004</v>
      </c>
      <c r="D49" s="54">
        <v>113.2</v>
      </c>
      <c r="E49" s="54">
        <v>102.1</v>
      </c>
      <c r="F49" s="54">
        <f t="shared" si="1"/>
        <v>11.100000000000009</v>
      </c>
      <c r="G49" s="54">
        <v>51</v>
      </c>
      <c r="H49" s="54">
        <v>48.9</v>
      </c>
      <c r="I49" s="54">
        <v>14.3</v>
      </c>
      <c r="J49" s="54">
        <v>24.6</v>
      </c>
      <c r="K49" s="54">
        <v>35</v>
      </c>
      <c r="L49" s="54">
        <v>35</v>
      </c>
      <c r="M49" s="54">
        <v>38.299999999999997</v>
      </c>
      <c r="N49" s="54">
        <v>31.6</v>
      </c>
      <c r="O49" s="54">
        <v>32.5</v>
      </c>
    </row>
    <row r="50" spans="1:15" ht="20" customHeight="1" x14ac:dyDescent="0.2">
      <c r="A50" s="23">
        <v>86</v>
      </c>
      <c r="B50" s="24" t="s">
        <v>89</v>
      </c>
      <c r="C50" s="25">
        <v>0.71750000000000003</v>
      </c>
      <c r="D50" s="54">
        <v>116.7</v>
      </c>
      <c r="E50" s="54">
        <v>107.6</v>
      </c>
      <c r="F50" s="54">
        <f t="shared" si="1"/>
        <v>9.1000000000000085</v>
      </c>
      <c r="G50" s="54">
        <v>59.2</v>
      </c>
      <c r="H50" s="54">
        <v>50.8</v>
      </c>
      <c r="I50" s="54">
        <v>14.5</v>
      </c>
      <c r="J50" s="54">
        <v>17.5</v>
      </c>
      <c r="K50" s="54">
        <v>25.3</v>
      </c>
      <c r="L50" s="54">
        <v>28.1</v>
      </c>
      <c r="M50" s="54">
        <v>40.200000000000003</v>
      </c>
      <c r="N50" s="54">
        <v>37.5</v>
      </c>
      <c r="O50" s="54">
        <v>33</v>
      </c>
    </row>
    <row r="51" spans="1:15" ht="20" customHeight="1" x14ac:dyDescent="0.2">
      <c r="A51" s="23">
        <v>91</v>
      </c>
      <c r="B51" s="24" t="s">
        <v>93</v>
      </c>
      <c r="C51" s="25">
        <v>0.70540000000000003</v>
      </c>
      <c r="D51" s="54">
        <v>113.2</v>
      </c>
      <c r="E51" s="54">
        <v>104.9</v>
      </c>
      <c r="F51" s="54">
        <f t="shared" si="1"/>
        <v>8.2999999999999972</v>
      </c>
      <c r="G51" s="54">
        <v>51.5</v>
      </c>
      <c r="H51" s="54">
        <v>45.9</v>
      </c>
      <c r="I51" s="54">
        <v>16.100000000000001</v>
      </c>
      <c r="J51" s="54">
        <v>15</v>
      </c>
      <c r="K51" s="54">
        <v>34.9</v>
      </c>
      <c r="L51" s="54">
        <v>30.5</v>
      </c>
      <c r="M51" s="54">
        <v>32.5</v>
      </c>
      <c r="N51" s="54">
        <v>36.799999999999997</v>
      </c>
      <c r="O51" s="54">
        <v>32.299999999999997</v>
      </c>
    </row>
    <row r="52" spans="1:15" ht="20" customHeight="1" x14ac:dyDescent="0.2">
      <c r="A52" s="23">
        <v>93</v>
      </c>
      <c r="B52" s="24" t="s">
        <v>54</v>
      </c>
      <c r="C52" s="25">
        <v>0.69930000000000003</v>
      </c>
      <c r="D52" s="54">
        <v>115.7</v>
      </c>
      <c r="E52" s="54">
        <v>107.5</v>
      </c>
      <c r="F52" s="54">
        <f t="shared" si="1"/>
        <v>8.2000000000000028</v>
      </c>
      <c r="G52" s="54">
        <v>54.7</v>
      </c>
      <c r="H52" s="54">
        <v>50.1</v>
      </c>
      <c r="I52" s="54">
        <v>13</v>
      </c>
      <c r="J52" s="54">
        <v>21.9</v>
      </c>
      <c r="K52" s="54">
        <v>32.1</v>
      </c>
      <c r="L52" s="54">
        <v>31.7</v>
      </c>
      <c r="M52" s="54">
        <v>42.9</v>
      </c>
      <c r="N52" s="54">
        <v>34.4</v>
      </c>
      <c r="O52" s="54">
        <v>31.9</v>
      </c>
    </row>
    <row r="53" spans="1:15" ht="20" customHeight="1" x14ac:dyDescent="0.2">
      <c r="A53" s="23">
        <v>96</v>
      </c>
      <c r="B53" s="24" t="s">
        <v>35</v>
      </c>
      <c r="C53" s="25">
        <v>0.68899999999999995</v>
      </c>
      <c r="D53" s="54">
        <v>107.5</v>
      </c>
      <c r="E53" s="54">
        <v>100.3</v>
      </c>
      <c r="F53" s="54">
        <f t="shared" si="1"/>
        <v>7.2000000000000028</v>
      </c>
      <c r="G53" s="54">
        <v>48.6</v>
      </c>
      <c r="H53" s="54">
        <v>46.4</v>
      </c>
      <c r="I53" s="54">
        <v>18.100000000000001</v>
      </c>
      <c r="J53" s="54">
        <v>17.100000000000001</v>
      </c>
      <c r="K53" s="54">
        <v>37.799999999999997</v>
      </c>
      <c r="L53" s="54">
        <v>27.2</v>
      </c>
      <c r="M53" s="54">
        <v>36.1</v>
      </c>
      <c r="N53" s="54">
        <v>33.700000000000003</v>
      </c>
      <c r="O53" s="54">
        <v>29.7</v>
      </c>
    </row>
    <row r="54" spans="1:15" ht="20" customHeight="1" x14ac:dyDescent="0.2">
      <c r="A54" s="23">
        <v>114</v>
      </c>
      <c r="B54" s="24" t="s">
        <v>36</v>
      </c>
      <c r="C54" s="25">
        <v>0.6391</v>
      </c>
      <c r="D54" s="54">
        <v>111.4</v>
      </c>
      <c r="E54" s="54">
        <v>106</v>
      </c>
      <c r="F54" s="54">
        <f t="shared" si="1"/>
        <v>5.4000000000000057</v>
      </c>
      <c r="G54" s="54">
        <v>53.4</v>
      </c>
      <c r="H54" s="54">
        <v>51.5</v>
      </c>
      <c r="I54" s="54">
        <v>15.6</v>
      </c>
      <c r="J54" s="54">
        <v>18.7</v>
      </c>
      <c r="K54" s="54">
        <v>33.6</v>
      </c>
      <c r="L54" s="54">
        <v>25.7</v>
      </c>
      <c r="M54" s="54">
        <v>30.7</v>
      </c>
      <c r="N54" s="54">
        <v>35.700000000000003</v>
      </c>
      <c r="O54" s="54">
        <v>33.5</v>
      </c>
    </row>
    <row r="55" spans="1:15" ht="20" customHeight="1" x14ac:dyDescent="0.2">
      <c r="A55" s="23">
        <v>116</v>
      </c>
      <c r="B55" s="24" t="s">
        <v>55</v>
      </c>
      <c r="C55" s="25">
        <v>0.63519999999999999</v>
      </c>
      <c r="D55" s="54">
        <v>106.9</v>
      </c>
      <c r="E55" s="54">
        <v>101.8</v>
      </c>
      <c r="F55" s="54">
        <f t="shared" si="1"/>
        <v>5.1000000000000085</v>
      </c>
      <c r="G55" s="54">
        <v>52</v>
      </c>
      <c r="H55" s="54">
        <v>46.4</v>
      </c>
      <c r="I55" s="54">
        <v>18.899999999999999</v>
      </c>
      <c r="J55" s="54">
        <v>16.899999999999999</v>
      </c>
      <c r="K55" s="54">
        <v>31.4</v>
      </c>
      <c r="L55" s="54">
        <v>25</v>
      </c>
      <c r="M55" s="54">
        <v>42.4</v>
      </c>
      <c r="N55" s="54">
        <v>31.6</v>
      </c>
      <c r="O55" s="54">
        <v>30.7</v>
      </c>
    </row>
    <row r="56" spans="1:15" ht="20" customHeight="1" x14ac:dyDescent="0.2">
      <c r="A56" s="23">
        <v>130</v>
      </c>
      <c r="B56" s="24" t="s">
        <v>94</v>
      </c>
      <c r="C56" s="25">
        <v>0.58589999999999998</v>
      </c>
      <c r="D56" s="54">
        <v>112.4</v>
      </c>
      <c r="E56" s="54">
        <v>109</v>
      </c>
      <c r="F56" s="54">
        <f t="shared" si="1"/>
        <v>3.4000000000000057</v>
      </c>
      <c r="G56" s="54">
        <v>54.4</v>
      </c>
      <c r="H56" s="54">
        <v>52.1</v>
      </c>
      <c r="I56" s="54">
        <v>16.3</v>
      </c>
      <c r="J56" s="54">
        <v>16.5</v>
      </c>
      <c r="K56" s="54">
        <v>33.200000000000003</v>
      </c>
      <c r="L56" s="54">
        <v>29.2</v>
      </c>
      <c r="M56" s="54">
        <v>38</v>
      </c>
      <c r="N56" s="54">
        <v>36.1</v>
      </c>
      <c r="O56" s="54">
        <v>33.6</v>
      </c>
    </row>
    <row r="57" spans="1:15" ht="20" customHeight="1" x14ac:dyDescent="0.2">
      <c r="A57" s="23">
        <v>136</v>
      </c>
      <c r="B57" s="24" t="s">
        <v>74</v>
      </c>
      <c r="C57" s="25">
        <v>0.57050000000000001</v>
      </c>
      <c r="D57" s="54">
        <v>108.8</v>
      </c>
      <c r="E57" s="54">
        <v>106.2</v>
      </c>
      <c r="F57" s="54">
        <f t="shared" si="1"/>
        <v>2.5999999999999943</v>
      </c>
      <c r="G57" s="54">
        <v>51.9</v>
      </c>
      <c r="H57" s="54">
        <v>50.3</v>
      </c>
      <c r="I57" s="54">
        <v>15</v>
      </c>
      <c r="J57" s="54">
        <v>15.2</v>
      </c>
      <c r="K57" s="54">
        <v>28.9</v>
      </c>
      <c r="L57" s="54">
        <v>24.2</v>
      </c>
      <c r="M57" s="54">
        <v>34.799999999999997</v>
      </c>
      <c r="N57" s="54">
        <v>34.5</v>
      </c>
      <c r="O57" s="54">
        <v>34.799999999999997</v>
      </c>
    </row>
    <row r="58" spans="1:15" ht="20" customHeight="1" x14ac:dyDescent="0.2">
      <c r="A58" s="23">
        <v>142</v>
      </c>
      <c r="B58" s="24" t="s">
        <v>72</v>
      </c>
      <c r="C58" s="25">
        <v>0.54349999999999998</v>
      </c>
      <c r="D58" s="54">
        <v>110.7</v>
      </c>
      <c r="E58" s="54">
        <v>109</v>
      </c>
      <c r="F58" s="54">
        <f t="shared" si="1"/>
        <v>1.7000000000000028</v>
      </c>
      <c r="G58" s="54">
        <v>51.9</v>
      </c>
      <c r="H58" s="54">
        <v>50.1</v>
      </c>
      <c r="I58" s="54">
        <v>17</v>
      </c>
      <c r="J58" s="54">
        <v>16.899999999999999</v>
      </c>
      <c r="K58" s="54">
        <v>34.799999999999997</v>
      </c>
      <c r="L58" s="54">
        <v>31.6</v>
      </c>
      <c r="M58" s="54">
        <v>36.299999999999997</v>
      </c>
      <c r="N58" s="54">
        <v>33.200000000000003</v>
      </c>
      <c r="O58" s="54">
        <v>31.3</v>
      </c>
    </row>
    <row r="59" spans="1:15" ht="20" customHeight="1" x14ac:dyDescent="0.2">
      <c r="A59" s="23">
        <v>146</v>
      </c>
      <c r="B59" s="24" t="s">
        <v>56</v>
      </c>
      <c r="C59" s="25">
        <v>0.53380000000000005</v>
      </c>
      <c r="D59" s="54">
        <v>110.8</v>
      </c>
      <c r="E59" s="54">
        <v>109.5</v>
      </c>
      <c r="F59" s="54">
        <f t="shared" si="1"/>
        <v>1.2999999999999972</v>
      </c>
      <c r="G59" s="54">
        <v>50.7</v>
      </c>
      <c r="H59" s="54">
        <v>48.5</v>
      </c>
      <c r="I59" s="54">
        <v>16.7</v>
      </c>
      <c r="J59" s="54">
        <v>16.100000000000001</v>
      </c>
      <c r="K59" s="54">
        <v>35.5</v>
      </c>
      <c r="L59" s="54">
        <v>31.3</v>
      </c>
      <c r="M59" s="54">
        <v>45.1</v>
      </c>
      <c r="N59" s="54">
        <v>33.700000000000003</v>
      </c>
      <c r="O59" s="54">
        <v>33.9</v>
      </c>
    </row>
    <row r="60" spans="1:15" ht="20" customHeight="1" x14ac:dyDescent="0.2">
      <c r="A60" s="23">
        <v>147</v>
      </c>
      <c r="B60" s="24" t="s">
        <v>73</v>
      </c>
      <c r="C60" s="25">
        <v>0.53159999999999996</v>
      </c>
      <c r="D60" s="54">
        <v>106.6</v>
      </c>
      <c r="E60" s="54">
        <v>105.4</v>
      </c>
      <c r="F60" s="54">
        <f t="shared" si="1"/>
        <v>1.1999999999999886</v>
      </c>
      <c r="G60" s="54">
        <v>50.3</v>
      </c>
      <c r="H60" s="54">
        <v>51.7</v>
      </c>
      <c r="I60" s="54">
        <v>15.4</v>
      </c>
      <c r="J60" s="54">
        <v>17.8</v>
      </c>
      <c r="K60" s="54">
        <v>30.3</v>
      </c>
      <c r="L60" s="54">
        <v>30.5</v>
      </c>
      <c r="M60" s="54">
        <v>35.200000000000003</v>
      </c>
      <c r="N60" s="54">
        <v>38.700000000000003</v>
      </c>
      <c r="O60" s="54">
        <v>31.7</v>
      </c>
    </row>
    <row r="61" spans="1:15" ht="20" customHeight="1" x14ac:dyDescent="0.2">
      <c r="A61" s="23">
        <v>184</v>
      </c>
      <c r="B61" s="24" t="s">
        <v>98</v>
      </c>
      <c r="C61" s="25">
        <v>0.45629999999999998</v>
      </c>
      <c r="D61" s="54">
        <v>107.6</v>
      </c>
      <c r="E61" s="54">
        <v>109.2</v>
      </c>
      <c r="F61" s="54">
        <f t="shared" si="1"/>
        <v>-1.6000000000000085</v>
      </c>
      <c r="G61" s="54">
        <v>53.9</v>
      </c>
      <c r="H61" s="54">
        <v>49.2</v>
      </c>
      <c r="I61" s="54">
        <v>14.1</v>
      </c>
      <c r="J61" s="54">
        <v>15.2</v>
      </c>
      <c r="K61" s="54">
        <v>25.1</v>
      </c>
      <c r="L61" s="54">
        <v>25.6</v>
      </c>
      <c r="M61" s="54">
        <v>33.799999999999997</v>
      </c>
      <c r="N61" s="54">
        <v>35.9</v>
      </c>
      <c r="O61" s="54">
        <v>32.200000000000003</v>
      </c>
    </row>
    <row r="62" spans="1:15" ht="20" customHeight="1" x14ac:dyDescent="0.2">
      <c r="A62" s="23">
        <v>186</v>
      </c>
      <c r="B62" s="24" t="s">
        <v>38</v>
      </c>
      <c r="C62" s="25">
        <v>0.45479999999999998</v>
      </c>
      <c r="D62" s="54">
        <v>107.2</v>
      </c>
      <c r="E62" s="54">
        <v>108.9</v>
      </c>
      <c r="F62" s="54">
        <f t="shared" si="1"/>
        <v>-1.7000000000000028</v>
      </c>
      <c r="G62" s="54">
        <v>50.6</v>
      </c>
      <c r="H62" s="54">
        <v>48.6</v>
      </c>
      <c r="I62" s="54">
        <v>16</v>
      </c>
      <c r="J62" s="54">
        <v>17.100000000000001</v>
      </c>
      <c r="K62" s="54">
        <v>31.9</v>
      </c>
      <c r="L62" s="54">
        <v>29</v>
      </c>
      <c r="M62" s="54">
        <v>34.200000000000003</v>
      </c>
      <c r="N62" s="54">
        <v>30.4</v>
      </c>
      <c r="O62" s="54">
        <v>32.799999999999997</v>
      </c>
    </row>
    <row r="63" spans="1:15" ht="20" customHeight="1" x14ac:dyDescent="0.2">
      <c r="A63" s="23">
        <v>195</v>
      </c>
      <c r="B63" s="24" t="s">
        <v>37</v>
      </c>
      <c r="C63" s="25">
        <v>0.44419999999999998</v>
      </c>
      <c r="D63" s="54">
        <v>106.9</v>
      </c>
      <c r="E63" s="54">
        <v>109</v>
      </c>
      <c r="F63" s="54">
        <f t="shared" si="1"/>
        <v>-2.0999999999999943</v>
      </c>
      <c r="G63" s="54">
        <v>54.8</v>
      </c>
      <c r="H63" s="54">
        <v>50.1</v>
      </c>
      <c r="I63" s="54">
        <v>17.8</v>
      </c>
      <c r="J63" s="54">
        <v>13.7</v>
      </c>
      <c r="K63" s="54">
        <v>31</v>
      </c>
      <c r="L63" s="54">
        <v>27.5</v>
      </c>
      <c r="M63" s="54">
        <v>32.1</v>
      </c>
      <c r="N63" s="54">
        <v>33.299999999999997</v>
      </c>
      <c r="O63" s="54">
        <v>32.6</v>
      </c>
    </row>
    <row r="64" spans="1:15" ht="20" customHeight="1" x14ac:dyDescent="0.2">
      <c r="A64" s="23">
        <v>198</v>
      </c>
      <c r="B64" s="24" t="s">
        <v>57</v>
      </c>
      <c r="C64" s="25">
        <v>0.43990000000000001</v>
      </c>
      <c r="D64" s="54">
        <v>114.7</v>
      </c>
      <c r="E64" s="54">
        <v>117.1</v>
      </c>
      <c r="F64" s="54">
        <f t="shared" si="1"/>
        <v>-2.3999999999999915</v>
      </c>
      <c r="G64" s="54">
        <v>56.6</v>
      </c>
      <c r="H64" s="54">
        <v>54</v>
      </c>
      <c r="I64" s="54">
        <v>14.8</v>
      </c>
      <c r="J64" s="54">
        <v>15</v>
      </c>
      <c r="K64" s="54">
        <v>30.4</v>
      </c>
      <c r="L64" s="54">
        <v>33</v>
      </c>
      <c r="M64" s="54">
        <v>36.299999999999997</v>
      </c>
      <c r="N64" s="54">
        <v>35.9</v>
      </c>
      <c r="O64" s="54">
        <v>35.799999999999997</v>
      </c>
    </row>
    <row r="65" spans="1:15" ht="20" customHeight="1" x14ac:dyDescent="0.2">
      <c r="A65" s="23">
        <v>205</v>
      </c>
      <c r="B65" s="24" t="s">
        <v>96</v>
      </c>
      <c r="C65" s="25">
        <v>0.42509999999999998</v>
      </c>
      <c r="D65" s="54">
        <v>103.5</v>
      </c>
      <c r="E65" s="54">
        <v>106.2</v>
      </c>
      <c r="F65" s="54">
        <f t="shared" si="1"/>
        <v>-2.7000000000000028</v>
      </c>
      <c r="G65" s="54">
        <v>50.6</v>
      </c>
      <c r="H65" s="54">
        <v>47.4</v>
      </c>
      <c r="I65" s="54">
        <v>19.8</v>
      </c>
      <c r="J65" s="54">
        <v>21.3</v>
      </c>
      <c r="K65" s="54">
        <v>36.6</v>
      </c>
      <c r="L65" s="54">
        <v>32</v>
      </c>
      <c r="M65" s="54">
        <v>44.2</v>
      </c>
      <c r="N65" s="54">
        <v>34.700000000000003</v>
      </c>
      <c r="O65" s="54">
        <v>30.4</v>
      </c>
    </row>
    <row r="66" spans="1:15" ht="20" customHeight="1" x14ac:dyDescent="0.2">
      <c r="A66" s="23">
        <v>218</v>
      </c>
      <c r="B66" s="24" t="s">
        <v>95</v>
      </c>
      <c r="C66" s="25">
        <v>0.39510000000000001</v>
      </c>
      <c r="D66" s="54">
        <v>107.8</v>
      </c>
      <c r="E66" s="54">
        <v>111.9</v>
      </c>
      <c r="F66" s="54">
        <f t="shared" ref="F66:F97" si="2">D66-E66</f>
        <v>-4.1000000000000085</v>
      </c>
      <c r="G66" s="54">
        <v>50.1</v>
      </c>
      <c r="H66" s="54">
        <v>51.2</v>
      </c>
      <c r="I66" s="54">
        <v>16.5</v>
      </c>
      <c r="J66" s="54">
        <v>20</v>
      </c>
      <c r="K66" s="54">
        <v>34.9</v>
      </c>
      <c r="L66" s="54">
        <v>29.9</v>
      </c>
      <c r="M66" s="54">
        <v>33.5</v>
      </c>
      <c r="N66" s="54">
        <v>33.700000000000003</v>
      </c>
      <c r="O66" s="54">
        <v>33.5</v>
      </c>
    </row>
    <row r="67" spans="1:15" ht="20" customHeight="1" x14ac:dyDescent="0.2">
      <c r="A67" s="23">
        <v>235</v>
      </c>
      <c r="B67" s="24" t="s">
        <v>58</v>
      </c>
      <c r="C67" s="25">
        <v>0.34039999999999998</v>
      </c>
      <c r="D67" s="54">
        <v>103.6</v>
      </c>
      <c r="E67" s="54">
        <v>109.8</v>
      </c>
      <c r="F67" s="54">
        <f t="shared" si="2"/>
        <v>-6.2000000000000028</v>
      </c>
      <c r="G67" s="54">
        <v>53.3</v>
      </c>
      <c r="H67" s="54">
        <v>49.8</v>
      </c>
      <c r="I67" s="54">
        <v>19</v>
      </c>
      <c r="J67" s="54">
        <v>18.899999999999999</v>
      </c>
      <c r="K67" s="54">
        <v>34.299999999999997</v>
      </c>
      <c r="L67" s="54">
        <v>32.6</v>
      </c>
      <c r="M67" s="54">
        <v>34.700000000000003</v>
      </c>
      <c r="N67" s="54">
        <v>36.1</v>
      </c>
      <c r="O67" s="54">
        <v>31.9</v>
      </c>
    </row>
    <row r="68" spans="1:15" ht="20" customHeight="1" x14ac:dyDescent="0.2">
      <c r="A68" s="23">
        <v>281</v>
      </c>
      <c r="B68" s="24" t="s">
        <v>77</v>
      </c>
      <c r="C68" s="25">
        <v>0.25509999999999999</v>
      </c>
      <c r="D68" s="54">
        <v>101.5</v>
      </c>
      <c r="E68" s="54">
        <v>111.4</v>
      </c>
      <c r="F68" s="54">
        <f t="shared" si="2"/>
        <v>-9.9000000000000057</v>
      </c>
      <c r="G68" s="54">
        <v>47.9</v>
      </c>
      <c r="H68" s="54">
        <v>50.4</v>
      </c>
      <c r="I68" s="54">
        <v>16</v>
      </c>
      <c r="J68" s="54">
        <v>19.100000000000001</v>
      </c>
      <c r="K68" s="54">
        <v>27.1</v>
      </c>
      <c r="L68" s="54">
        <v>34.799999999999997</v>
      </c>
      <c r="M68" s="54">
        <v>42.8</v>
      </c>
      <c r="N68" s="54">
        <v>33.200000000000003</v>
      </c>
      <c r="O68" s="54">
        <v>35</v>
      </c>
    </row>
    <row r="69" spans="1:15" ht="20" customHeight="1" x14ac:dyDescent="0.2">
      <c r="A69" s="23">
        <v>283</v>
      </c>
      <c r="B69" s="24" t="s">
        <v>75</v>
      </c>
      <c r="C69" s="25">
        <v>0.25169999999999998</v>
      </c>
      <c r="D69" s="54">
        <v>102.6</v>
      </c>
      <c r="E69" s="54">
        <v>112.8</v>
      </c>
      <c r="F69" s="54">
        <f t="shared" si="2"/>
        <v>-10.200000000000003</v>
      </c>
      <c r="G69" s="54">
        <v>53.3</v>
      </c>
      <c r="H69" s="54">
        <v>50.6</v>
      </c>
      <c r="I69" s="54">
        <v>17.5</v>
      </c>
      <c r="J69" s="54">
        <v>16.3</v>
      </c>
      <c r="K69" s="54">
        <v>22.8</v>
      </c>
      <c r="L69" s="54">
        <v>31.7</v>
      </c>
      <c r="M69" s="54">
        <v>32.200000000000003</v>
      </c>
      <c r="N69" s="54">
        <v>36.5</v>
      </c>
      <c r="O69" s="54">
        <v>32.799999999999997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"/>
  <sheetViews>
    <sheetView topLeftCell="P1" zoomScaleNormal="100" workbookViewId="0">
      <selection activeCell="U3" sqref="U3"/>
    </sheetView>
  </sheetViews>
  <sheetFormatPr baseColWidth="10" defaultColWidth="41" defaultRowHeight="20" customHeight="1" x14ac:dyDescent="0.2"/>
  <sheetData>
    <row r="1" spans="1:21" ht="2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20" customHeight="1" x14ac:dyDescent="0.2">
      <c r="A2" s="5" t="s">
        <v>21</v>
      </c>
      <c r="B2" s="5">
        <v>1</v>
      </c>
      <c r="C2" s="5" t="s">
        <v>22</v>
      </c>
      <c r="D2" s="6">
        <v>0.98129999999999995</v>
      </c>
      <c r="E2" s="7">
        <v>128.19999999999999</v>
      </c>
      <c r="F2" s="7">
        <v>90.8</v>
      </c>
      <c r="G2" s="7">
        <v>37.4</v>
      </c>
      <c r="H2" s="7">
        <v>56.8</v>
      </c>
      <c r="I2" s="7">
        <v>46.2</v>
      </c>
      <c r="J2" s="7">
        <v>15.7</v>
      </c>
      <c r="K2" s="7">
        <v>18.100000000000001</v>
      </c>
      <c r="L2" s="7">
        <v>38.1</v>
      </c>
      <c r="M2" s="7">
        <v>24.8</v>
      </c>
      <c r="N2" s="7">
        <v>37.799999999999997</v>
      </c>
      <c r="O2" s="7">
        <v>35.1</v>
      </c>
      <c r="P2" s="7">
        <v>30.4</v>
      </c>
      <c r="Q2" s="8">
        <v>-2.5</v>
      </c>
      <c r="R2" s="7">
        <v>132.19999999999999</v>
      </c>
      <c r="S2" s="7">
        <v>94.1</v>
      </c>
      <c r="T2" s="7">
        <v>38.1</v>
      </c>
      <c r="U2" s="9" t="s">
        <v>23</v>
      </c>
    </row>
    <row r="3" spans="1:21" ht="20" customHeight="1" x14ac:dyDescent="0.2">
      <c r="A3" s="5" t="s">
        <v>24</v>
      </c>
      <c r="B3" s="5">
        <v>2</v>
      </c>
      <c r="C3" s="5" t="s">
        <v>22</v>
      </c>
      <c r="D3" s="6">
        <v>0.95169999999999999</v>
      </c>
      <c r="E3" s="7">
        <v>123.1</v>
      </c>
      <c r="F3" s="7">
        <v>95</v>
      </c>
      <c r="G3" s="7">
        <v>28.1</v>
      </c>
      <c r="H3" s="7">
        <v>55.3</v>
      </c>
      <c r="I3" s="7">
        <v>45.7</v>
      </c>
      <c r="J3" s="7">
        <v>16.8</v>
      </c>
      <c r="K3" s="7">
        <v>18</v>
      </c>
      <c r="L3" s="7">
        <v>35.700000000000003</v>
      </c>
      <c r="M3" s="7">
        <v>28.7</v>
      </c>
      <c r="N3" s="7">
        <v>30</v>
      </c>
      <c r="O3" s="7">
        <v>35.200000000000003</v>
      </c>
      <c r="P3" s="7">
        <v>30.3</v>
      </c>
      <c r="Q3" s="8">
        <v>0</v>
      </c>
      <c r="R3" s="7">
        <v>114.9</v>
      </c>
      <c r="S3" s="7">
        <v>95.4</v>
      </c>
      <c r="T3" s="7">
        <v>19.5</v>
      </c>
      <c r="U3" s="9" t="s">
        <v>23</v>
      </c>
    </row>
    <row r="4" spans="1:21" ht="20" customHeight="1" x14ac:dyDescent="0.2">
      <c r="A4" s="5" t="s">
        <v>25</v>
      </c>
      <c r="B4" s="5">
        <v>3</v>
      </c>
      <c r="C4" s="5" t="s">
        <v>22</v>
      </c>
      <c r="D4" s="6">
        <v>0.94379999999999997</v>
      </c>
      <c r="E4" s="7">
        <v>122.9</v>
      </c>
      <c r="F4" s="7">
        <v>96.2</v>
      </c>
      <c r="G4" s="7">
        <v>26.7</v>
      </c>
      <c r="H4" s="7">
        <v>53.6</v>
      </c>
      <c r="I4" s="7">
        <v>48.6</v>
      </c>
      <c r="J4" s="7">
        <v>17.100000000000001</v>
      </c>
      <c r="K4" s="7">
        <v>14.8</v>
      </c>
      <c r="L4" s="7">
        <v>38.5</v>
      </c>
      <c r="M4" s="7">
        <v>22.6</v>
      </c>
      <c r="N4" s="7">
        <v>36.200000000000003</v>
      </c>
      <c r="O4" s="7">
        <v>35.9</v>
      </c>
      <c r="P4" s="7">
        <v>32.9</v>
      </c>
      <c r="Q4" s="8">
        <v>0</v>
      </c>
      <c r="R4" s="7">
        <v>135</v>
      </c>
      <c r="S4" s="7">
        <v>108.6</v>
      </c>
      <c r="T4" s="7">
        <v>26.4</v>
      </c>
      <c r="U4" s="9" t="s">
        <v>23</v>
      </c>
    </row>
    <row r="5" spans="1:21" ht="20" customHeight="1" x14ac:dyDescent="0.2">
      <c r="A5" s="5" t="s">
        <v>26</v>
      </c>
      <c r="B5" s="5">
        <v>4</v>
      </c>
      <c r="C5" s="5" t="s">
        <v>22</v>
      </c>
      <c r="D5" s="6">
        <v>0.92779999999999996</v>
      </c>
      <c r="E5" s="7">
        <v>117.8</v>
      </c>
      <c r="F5" s="7">
        <v>94.4</v>
      </c>
      <c r="G5" s="7">
        <v>23.4</v>
      </c>
      <c r="H5" s="7">
        <v>51.6</v>
      </c>
      <c r="I5" s="7">
        <v>45.2</v>
      </c>
      <c r="J5" s="7">
        <v>15.5</v>
      </c>
      <c r="K5" s="7">
        <v>14</v>
      </c>
      <c r="L5" s="7">
        <v>29.5</v>
      </c>
      <c r="M5" s="7">
        <v>30.1</v>
      </c>
      <c r="N5" s="7">
        <v>32.6</v>
      </c>
      <c r="O5" s="7">
        <v>35</v>
      </c>
      <c r="P5" s="7">
        <v>30.7</v>
      </c>
      <c r="Q5" s="8">
        <v>0</v>
      </c>
      <c r="R5" s="7">
        <v>107.4</v>
      </c>
      <c r="S5" s="7">
        <v>98.7</v>
      </c>
      <c r="T5" s="7">
        <v>8.6999999999999993</v>
      </c>
      <c r="U5" s="9" t="s">
        <v>23</v>
      </c>
    </row>
    <row r="6" spans="1:21" ht="20" customHeight="1" x14ac:dyDescent="0.2">
      <c r="A6" s="5" t="s">
        <v>27</v>
      </c>
      <c r="B6" s="5">
        <v>5</v>
      </c>
      <c r="C6" s="5" t="s">
        <v>22</v>
      </c>
      <c r="D6" s="6">
        <v>0.9415</v>
      </c>
      <c r="E6" s="7">
        <v>119.8</v>
      </c>
      <c r="F6" s="7">
        <v>94.1</v>
      </c>
      <c r="G6" s="7">
        <v>25.7</v>
      </c>
      <c r="H6" s="7">
        <v>51</v>
      </c>
      <c r="I6" s="7">
        <v>47.4</v>
      </c>
      <c r="J6" s="7">
        <v>14.7</v>
      </c>
      <c r="K6" s="7">
        <v>19.399999999999999</v>
      </c>
      <c r="L6" s="7">
        <v>35.9</v>
      </c>
      <c r="M6" s="7">
        <v>30.2</v>
      </c>
      <c r="N6" s="7">
        <v>41.9</v>
      </c>
      <c r="O6" s="7">
        <v>33.200000000000003</v>
      </c>
      <c r="P6" s="7">
        <v>31.3</v>
      </c>
      <c r="Q6" s="8">
        <v>0</v>
      </c>
      <c r="R6" s="7">
        <v>123.3</v>
      </c>
      <c r="S6" s="7">
        <v>91.1</v>
      </c>
      <c r="T6" s="7">
        <v>32.200000000000003</v>
      </c>
      <c r="U6" s="9" t="s">
        <v>23</v>
      </c>
    </row>
    <row r="7" spans="1:21" ht="20" customHeight="1" x14ac:dyDescent="0.2">
      <c r="A7" s="5" t="s">
        <v>28</v>
      </c>
      <c r="B7" s="5">
        <v>6</v>
      </c>
      <c r="C7" s="5" t="s">
        <v>22</v>
      </c>
      <c r="D7" s="6">
        <v>0.93640000000000001</v>
      </c>
      <c r="E7" s="7">
        <v>124</v>
      </c>
      <c r="F7" s="7">
        <v>98.2</v>
      </c>
      <c r="G7" s="7">
        <v>25.8</v>
      </c>
      <c r="H7" s="7">
        <v>56.4</v>
      </c>
      <c r="I7" s="7">
        <v>48.8</v>
      </c>
      <c r="J7" s="7">
        <v>16.399999999999999</v>
      </c>
      <c r="K7" s="7">
        <v>16.7</v>
      </c>
      <c r="L7" s="7">
        <v>32.9</v>
      </c>
      <c r="M7" s="7">
        <v>26.9</v>
      </c>
      <c r="N7" s="7">
        <v>33.5</v>
      </c>
      <c r="O7" s="7">
        <v>35.700000000000003</v>
      </c>
      <c r="P7" s="7">
        <v>32.700000000000003</v>
      </c>
      <c r="Q7" s="8">
        <v>-2.5</v>
      </c>
      <c r="R7" s="7">
        <v>124.2</v>
      </c>
      <c r="S7" s="7">
        <v>98.2</v>
      </c>
      <c r="T7" s="7">
        <v>26</v>
      </c>
      <c r="U7" s="9" t="s">
        <v>23</v>
      </c>
    </row>
    <row r="8" spans="1:21" ht="20" customHeight="1" x14ac:dyDescent="0.2">
      <c r="A8" s="5" t="s">
        <v>29</v>
      </c>
      <c r="B8" s="5">
        <v>7</v>
      </c>
      <c r="C8" s="5" t="s">
        <v>22</v>
      </c>
      <c r="D8" s="6">
        <v>0.91069999999999995</v>
      </c>
      <c r="E8" s="7">
        <v>124.6</v>
      </c>
      <c r="F8" s="7">
        <v>101.8</v>
      </c>
      <c r="G8" s="7">
        <v>22.8</v>
      </c>
      <c r="H8" s="7">
        <v>53.9</v>
      </c>
      <c r="I8" s="7">
        <v>50.4</v>
      </c>
      <c r="J8" s="7">
        <v>13.4</v>
      </c>
      <c r="K8" s="7">
        <v>18.100000000000001</v>
      </c>
      <c r="L8" s="7">
        <v>31.1</v>
      </c>
      <c r="M8" s="7">
        <v>32.4</v>
      </c>
      <c r="N8" s="7">
        <v>33.1</v>
      </c>
      <c r="O8" s="7">
        <v>38.200000000000003</v>
      </c>
      <c r="P8" s="7">
        <v>31.8</v>
      </c>
      <c r="Q8" s="8">
        <v>-1</v>
      </c>
      <c r="R8" s="7">
        <v>133.4</v>
      </c>
      <c r="S8" s="7">
        <v>96.4</v>
      </c>
      <c r="T8" s="7">
        <v>37</v>
      </c>
      <c r="U8" s="9" t="s">
        <v>23</v>
      </c>
    </row>
    <row r="9" spans="1:21" ht="20" customHeight="1" x14ac:dyDescent="0.2">
      <c r="A9" s="5" t="s">
        <v>30</v>
      </c>
      <c r="B9" s="5">
        <v>8</v>
      </c>
      <c r="C9" s="5" t="s">
        <v>22</v>
      </c>
      <c r="D9" s="6">
        <v>0.91720000000000002</v>
      </c>
      <c r="E9" s="7">
        <v>125.2</v>
      </c>
      <c r="F9" s="7">
        <v>101.6</v>
      </c>
      <c r="G9" s="7">
        <v>23.6</v>
      </c>
      <c r="H9" s="7">
        <v>56.5</v>
      </c>
      <c r="I9" s="7">
        <v>50.3</v>
      </c>
      <c r="J9" s="7">
        <v>15.4</v>
      </c>
      <c r="K9" s="7">
        <v>15.8</v>
      </c>
      <c r="L9" s="7">
        <v>30.8</v>
      </c>
      <c r="M9" s="7">
        <v>30</v>
      </c>
      <c r="N9" s="7">
        <v>37.799999999999997</v>
      </c>
      <c r="O9" s="7">
        <v>36</v>
      </c>
      <c r="P9" s="7">
        <v>31.6</v>
      </c>
      <c r="Q9" s="8">
        <v>0</v>
      </c>
      <c r="R9" s="7">
        <v>136.6</v>
      </c>
      <c r="S9" s="7">
        <v>98.2</v>
      </c>
      <c r="T9" s="7">
        <v>38.4</v>
      </c>
      <c r="U9" s="9" t="s">
        <v>23</v>
      </c>
    </row>
    <row r="10" spans="1:21" ht="20" customHeight="1" x14ac:dyDescent="0.2">
      <c r="A10" s="5" t="s">
        <v>31</v>
      </c>
      <c r="B10" s="5">
        <v>9</v>
      </c>
      <c r="C10" s="5" t="s">
        <v>22</v>
      </c>
      <c r="D10" s="6">
        <v>0.8367</v>
      </c>
      <c r="E10" s="7">
        <v>114.9</v>
      </c>
      <c r="F10" s="7">
        <v>99.6</v>
      </c>
      <c r="G10" s="7">
        <v>15.3</v>
      </c>
      <c r="H10" s="7">
        <v>50.9</v>
      </c>
      <c r="I10" s="7">
        <v>51</v>
      </c>
      <c r="J10" s="7">
        <v>15.5</v>
      </c>
      <c r="K10" s="7">
        <v>19.7</v>
      </c>
      <c r="L10" s="7">
        <v>34.4</v>
      </c>
      <c r="M10" s="7">
        <v>29.2</v>
      </c>
      <c r="N10" s="7">
        <v>38.700000000000003</v>
      </c>
      <c r="O10" s="7">
        <v>33.1</v>
      </c>
      <c r="P10" s="7">
        <v>33.700000000000003</v>
      </c>
      <c r="Q10" s="8">
        <v>0</v>
      </c>
      <c r="R10" s="7">
        <v>126.6</v>
      </c>
      <c r="S10" s="7">
        <v>101</v>
      </c>
      <c r="T10" s="7">
        <v>25.6</v>
      </c>
      <c r="U10" s="9" t="s">
        <v>23</v>
      </c>
    </row>
    <row r="11" spans="1:21" ht="20" customHeight="1" x14ac:dyDescent="0.2">
      <c r="A11" s="5" t="s">
        <v>32</v>
      </c>
      <c r="B11" s="5">
        <v>10</v>
      </c>
      <c r="C11" s="5" t="s">
        <v>22</v>
      </c>
      <c r="D11" s="6">
        <v>0.81159999999999999</v>
      </c>
      <c r="E11" s="7">
        <v>120</v>
      </c>
      <c r="F11" s="7">
        <v>105.7</v>
      </c>
      <c r="G11" s="7">
        <v>14.3</v>
      </c>
      <c r="H11" s="7">
        <v>52.8</v>
      </c>
      <c r="I11" s="7">
        <v>52.4</v>
      </c>
      <c r="J11" s="7">
        <v>15.7</v>
      </c>
      <c r="K11" s="7">
        <v>15.8</v>
      </c>
      <c r="L11" s="7">
        <v>34.4</v>
      </c>
      <c r="M11" s="7">
        <v>28.5</v>
      </c>
      <c r="N11" s="7">
        <v>30.8</v>
      </c>
      <c r="O11" s="7">
        <v>36.200000000000003</v>
      </c>
      <c r="P11" s="7">
        <v>34</v>
      </c>
      <c r="Q11" s="8">
        <v>-0.5</v>
      </c>
      <c r="R11" s="7">
        <v>107.1</v>
      </c>
      <c r="S11" s="7">
        <v>104.4</v>
      </c>
      <c r="T11" s="7">
        <v>2.69999999999999</v>
      </c>
      <c r="U11" s="9" t="s">
        <v>23</v>
      </c>
    </row>
    <row r="12" spans="1:21" ht="20" customHeight="1" x14ac:dyDescent="0.2">
      <c r="A12" s="5" t="s">
        <v>33</v>
      </c>
      <c r="B12" s="5">
        <v>11</v>
      </c>
      <c r="C12" s="5" t="s">
        <v>22</v>
      </c>
      <c r="D12" s="6">
        <v>0.83560000000000001</v>
      </c>
      <c r="E12" s="7">
        <v>116.8</v>
      </c>
      <c r="F12" s="7">
        <v>101.4</v>
      </c>
      <c r="G12" s="7">
        <v>15.4</v>
      </c>
      <c r="H12" s="7">
        <v>50.9</v>
      </c>
      <c r="I12" s="7">
        <v>48.4</v>
      </c>
      <c r="J12" s="7">
        <v>15.2</v>
      </c>
      <c r="K12" s="7">
        <v>18.8</v>
      </c>
      <c r="L12" s="7">
        <v>38.200000000000003</v>
      </c>
      <c r="M12" s="7">
        <v>31.8</v>
      </c>
      <c r="N12" s="7">
        <v>41.1</v>
      </c>
      <c r="O12" s="7">
        <v>33.1</v>
      </c>
      <c r="P12" s="7">
        <v>33.9</v>
      </c>
      <c r="Q12" s="8">
        <v>0</v>
      </c>
      <c r="R12" s="7">
        <v>116.9</v>
      </c>
      <c r="S12" s="7">
        <v>95.3</v>
      </c>
      <c r="T12" s="7">
        <v>21.6</v>
      </c>
      <c r="U12" s="9" t="s">
        <v>23</v>
      </c>
    </row>
    <row r="13" spans="1:21" ht="20" customHeight="1" x14ac:dyDescent="0.2">
      <c r="A13" s="5" t="s">
        <v>34</v>
      </c>
      <c r="B13" s="5">
        <v>12</v>
      </c>
      <c r="C13" s="5" t="s">
        <v>22</v>
      </c>
      <c r="D13" s="6">
        <v>0.7752</v>
      </c>
      <c r="E13" s="7">
        <v>109.8</v>
      </c>
      <c r="F13" s="7">
        <v>98.6</v>
      </c>
      <c r="G13" s="7">
        <v>11.2</v>
      </c>
      <c r="H13" s="7">
        <v>54.2</v>
      </c>
      <c r="I13" s="7">
        <v>47.2</v>
      </c>
      <c r="J13" s="7">
        <v>14.6</v>
      </c>
      <c r="K13" s="7">
        <v>18.100000000000001</v>
      </c>
      <c r="L13" s="7">
        <v>22</v>
      </c>
      <c r="M13" s="7">
        <v>26.3</v>
      </c>
      <c r="N13" s="7">
        <v>25.7</v>
      </c>
      <c r="O13" s="7">
        <v>34.9</v>
      </c>
      <c r="P13" s="7">
        <v>28.9</v>
      </c>
      <c r="Q13" s="8">
        <v>0</v>
      </c>
      <c r="R13" s="7">
        <v>120.9</v>
      </c>
      <c r="S13" s="7">
        <v>99</v>
      </c>
      <c r="T13" s="7">
        <v>21.9</v>
      </c>
      <c r="U13" s="9" t="s">
        <v>23</v>
      </c>
    </row>
    <row r="14" spans="1:21" ht="20" customHeight="1" x14ac:dyDescent="0.2">
      <c r="A14" s="5" t="s">
        <v>35</v>
      </c>
      <c r="B14" s="5">
        <v>13</v>
      </c>
      <c r="C14" s="5" t="s">
        <v>22</v>
      </c>
      <c r="D14" s="6">
        <v>0.68899999999999995</v>
      </c>
      <c r="E14" s="7">
        <v>107.5</v>
      </c>
      <c r="F14" s="7">
        <v>100.3</v>
      </c>
      <c r="G14" s="7">
        <v>7.2</v>
      </c>
      <c r="H14" s="7">
        <v>48.6</v>
      </c>
      <c r="I14" s="7">
        <v>46.4</v>
      </c>
      <c r="J14" s="7">
        <v>18.100000000000001</v>
      </c>
      <c r="K14" s="7">
        <v>17.100000000000001</v>
      </c>
      <c r="L14" s="7">
        <v>37.799999999999997</v>
      </c>
      <c r="M14" s="7">
        <v>27.2</v>
      </c>
      <c r="N14" s="7">
        <v>36.1</v>
      </c>
      <c r="O14" s="7">
        <v>33.700000000000003</v>
      </c>
      <c r="P14" s="7">
        <v>29.7</v>
      </c>
      <c r="Q14" s="8">
        <v>0</v>
      </c>
      <c r="R14" s="7">
        <v>112.5</v>
      </c>
      <c r="S14" s="7">
        <v>93.4</v>
      </c>
      <c r="T14" s="7">
        <v>19.100000000000001</v>
      </c>
      <c r="U14" s="9" t="s">
        <v>23</v>
      </c>
    </row>
    <row r="15" spans="1:21" ht="20" customHeight="1" x14ac:dyDescent="0.2">
      <c r="A15" s="5" t="s">
        <v>36</v>
      </c>
      <c r="B15" s="5">
        <v>14</v>
      </c>
      <c r="C15" s="5" t="s">
        <v>22</v>
      </c>
      <c r="D15" s="6">
        <v>0.6391</v>
      </c>
      <c r="E15" s="7">
        <v>111.4</v>
      </c>
      <c r="F15" s="7">
        <v>106</v>
      </c>
      <c r="G15" s="7">
        <v>5.4</v>
      </c>
      <c r="H15" s="7">
        <v>53.4</v>
      </c>
      <c r="I15" s="7">
        <v>51.5</v>
      </c>
      <c r="J15" s="7">
        <v>15.6</v>
      </c>
      <c r="K15" s="7">
        <v>18.7</v>
      </c>
      <c r="L15" s="7">
        <v>33.6</v>
      </c>
      <c r="M15" s="7">
        <v>25.7</v>
      </c>
      <c r="N15" s="7">
        <v>30.7</v>
      </c>
      <c r="O15" s="7">
        <v>35.700000000000003</v>
      </c>
      <c r="P15" s="7">
        <v>33.5</v>
      </c>
      <c r="Q15" s="8">
        <v>0</v>
      </c>
      <c r="R15" s="7">
        <v>105.6</v>
      </c>
      <c r="S15" s="7">
        <v>92.4</v>
      </c>
      <c r="T15" s="7">
        <v>13.2</v>
      </c>
      <c r="U15" s="9" t="s">
        <v>23</v>
      </c>
    </row>
    <row r="16" spans="1:21" ht="20" customHeight="1" x14ac:dyDescent="0.2">
      <c r="A16" s="5" t="s">
        <v>37</v>
      </c>
      <c r="B16" s="5">
        <v>15</v>
      </c>
      <c r="C16" s="5" t="s">
        <v>22</v>
      </c>
      <c r="D16" s="6">
        <v>0.44419999999999998</v>
      </c>
      <c r="E16" s="7">
        <v>106.9</v>
      </c>
      <c r="F16" s="7">
        <v>109</v>
      </c>
      <c r="G16" s="7">
        <v>-2.1</v>
      </c>
      <c r="H16" s="7">
        <v>54.8</v>
      </c>
      <c r="I16" s="7">
        <v>54.8</v>
      </c>
      <c r="J16" s="7">
        <v>17.8</v>
      </c>
      <c r="K16" s="7">
        <v>13.7</v>
      </c>
      <c r="L16" s="7">
        <v>31</v>
      </c>
      <c r="M16" s="7">
        <v>27.5</v>
      </c>
      <c r="N16" s="7">
        <v>32.1</v>
      </c>
      <c r="O16" s="7">
        <v>33.299999999999997</v>
      </c>
      <c r="P16" s="7">
        <v>32.6</v>
      </c>
      <c r="Q16" s="8">
        <v>0</v>
      </c>
      <c r="R16" s="7">
        <v>116.7</v>
      </c>
      <c r="S16" s="7">
        <v>112.8</v>
      </c>
      <c r="T16" s="7">
        <v>3.9000000000000101</v>
      </c>
      <c r="U16" s="9" t="s">
        <v>23</v>
      </c>
    </row>
    <row r="17" spans="1:21" ht="20" customHeight="1" x14ac:dyDescent="0.2">
      <c r="A17" s="5" t="s">
        <v>38</v>
      </c>
      <c r="B17" s="5">
        <v>16</v>
      </c>
      <c r="C17" s="5" t="s">
        <v>22</v>
      </c>
      <c r="D17" s="6">
        <v>0.45479999999999998</v>
      </c>
      <c r="E17" s="7">
        <v>107.2</v>
      </c>
      <c r="F17" s="7">
        <v>108.9</v>
      </c>
      <c r="G17" s="7">
        <v>-1.7</v>
      </c>
      <c r="H17" s="7">
        <v>50.6</v>
      </c>
      <c r="I17" s="7">
        <v>48.6</v>
      </c>
      <c r="J17" s="7">
        <v>16</v>
      </c>
      <c r="K17" s="7">
        <v>17.100000000000001</v>
      </c>
      <c r="L17" s="7">
        <v>31.9</v>
      </c>
      <c r="M17" s="7">
        <v>29</v>
      </c>
      <c r="N17" s="7">
        <v>34.200000000000003</v>
      </c>
      <c r="O17" s="7">
        <v>30.4</v>
      </c>
      <c r="P17" s="7">
        <v>32.799999999999997</v>
      </c>
      <c r="Q17" s="8">
        <v>0</v>
      </c>
      <c r="R17" s="7">
        <v>106.1</v>
      </c>
      <c r="S17" s="7">
        <v>99.5</v>
      </c>
      <c r="T17" s="7">
        <v>6.5999999999999899</v>
      </c>
      <c r="U17" s="9" t="s">
        <v>23</v>
      </c>
    </row>
    <row r="18" spans="1:21" ht="20" customHeight="1" x14ac:dyDescent="0.2">
      <c r="A18" s="5" t="s">
        <v>39</v>
      </c>
      <c r="B18" s="5">
        <v>1</v>
      </c>
      <c r="C18" s="5" t="s">
        <v>40</v>
      </c>
      <c r="D18" s="6">
        <v>0.97760000000000002</v>
      </c>
      <c r="E18" s="7">
        <v>126.9</v>
      </c>
      <c r="F18" s="7">
        <v>91.4</v>
      </c>
      <c r="G18" s="7">
        <v>35.5</v>
      </c>
      <c r="H18" s="7">
        <v>55.1</v>
      </c>
      <c r="I18" s="7">
        <v>45</v>
      </c>
      <c r="J18" s="7">
        <v>15.1</v>
      </c>
      <c r="K18" s="7">
        <v>16.7</v>
      </c>
      <c r="L18" s="7">
        <v>38.1</v>
      </c>
      <c r="M18" s="7">
        <v>26.9</v>
      </c>
      <c r="N18" s="7">
        <v>42.9</v>
      </c>
      <c r="O18" s="7">
        <v>36</v>
      </c>
      <c r="P18" s="7">
        <v>31.4</v>
      </c>
      <c r="Q18" s="8">
        <v>0</v>
      </c>
      <c r="R18" s="7">
        <v>131.9</v>
      </c>
      <c r="S18" s="7">
        <v>92.3</v>
      </c>
      <c r="T18" s="7">
        <v>39.6</v>
      </c>
      <c r="U18" s="9" t="s">
        <v>23</v>
      </c>
    </row>
    <row r="19" spans="1:21" ht="20" customHeight="1" x14ac:dyDescent="0.2">
      <c r="A19" s="5" t="s">
        <v>41</v>
      </c>
      <c r="B19" s="5">
        <v>2</v>
      </c>
      <c r="C19" s="5" t="s">
        <v>40</v>
      </c>
      <c r="D19" s="6">
        <v>0.96360000000000001</v>
      </c>
      <c r="E19" s="7">
        <v>133.30000000000001</v>
      </c>
      <c r="F19" s="7">
        <v>100.3</v>
      </c>
      <c r="G19" s="7">
        <v>33</v>
      </c>
      <c r="H19" s="7">
        <v>57.6</v>
      </c>
      <c r="I19" s="7">
        <v>52.3</v>
      </c>
      <c r="J19" s="7">
        <v>13.5</v>
      </c>
      <c r="K19" s="7">
        <v>15.6</v>
      </c>
      <c r="L19" s="7">
        <v>36.299999999999997</v>
      </c>
      <c r="M19" s="7">
        <v>26.4</v>
      </c>
      <c r="N19" s="7">
        <v>28.6</v>
      </c>
      <c r="O19" s="7">
        <v>37.9</v>
      </c>
      <c r="P19" s="7">
        <v>34.200000000000003</v>
      </c>
      <c r="Q19" s="8">
        <v>0</v>
      </c>
      <c r="R19" s="7">
        <v>140.5</v>
      </c>
      <c r="S19" s="7">
        <v>105.3</v>
      </c>
      <c r="T19" s="7">
        <v>35.200000000000003</v>
      </c>
      <c r="U19" s="9" t="s">
        <v>23</v>
      </c>
    </row>
    <row r="20" spans="1:21" ht="20" customHeight="1" x14ac:dyDescent="0.2">
      <c r="A20" s="5" t="s">
        <v>42</v>
      </c>
      <c r="B20" s="5">
        <v>3</v>
      </c>
      <c r="C20" s="5" t="s">
        <v>40</v>
      </c>
      <c r="D20" s="6">
        <v>0.9446</v>
      </c>
      <c r="E20" s="7">
        <v>120.3</v>
      </c>
      <c r="F20" s="7">
        <v>94</v>
      </c>
      <c r="G20" s="7">
        <v>26.3</v>
      </c>
      <c r="H20" s="7">
        <v>56.3</v>
      </c>
      <c r="I20" s="7">
        <v>46.2</v>
      </c>
      <c r="J20" s="7">
        <v>13.7</v>
      </c>
      <c r="K20" s="7">
        <v>20.5</v>
      </c>
      <c r="L20" s="7">
        <v>34.799999999999997</v>
      </c>
      <c r="M20" s="7">
        <v>25.9</v>
      </c>
      <c r="N20" s="7">
        <v>31.1</v>
      </c>
      <c r="O20" s="7">
        <v>34</v>
      </c>
      <c r="P20" s="7">
        <v>30.8</v>
      </c>
      <c r="Q20" s="8">
        <v>0</v>
      </c>
      <c r="R20" s="7">
        <v>119.2</v>
      </c>
      <c r="S20" s="7">
        <v>93.9</v>
      </c>
      <c r="T20" s="7">
        <v>25.3</v>
      </c>
      <c r="U20" s="9" t="s">
        <v>23</v>
      </c>
    </row>
    <row r="21" spans="1:21" ht="20" customHeight="1" x14ac:dyDescent="0.2">
      <c r="A21" s="5" t="s">
        <v>43</v>
      </c>
      <c r="B21" s="5">
        <v>4</v>
      </c>
      <c r="C21" s="5" t="s">
        <v>40</v>
      </c>
      <c r="D21" s="6">
        <v>0.93369999999999997</v>
      </c>
      <c r="E21" s="7">
        <v>127.9</v>
      </c>
      <c r="F21" s="7">
        <v>101.6</v>
      </c>
      <c r="G21" s="7">
        <v>26.3</v>
      </c>
      <c r="H21" s="7">
        <v>56.5</v>
      </c>
      <c r="I21" s="7">
        <v>51.4</v>
      </c>
      <c r="J21" s="7">
        <v>12.3</v>
      </c>
      <c r="K21" s="7">
        <v>15.7</v>
      </c>
      <c r="L21" s="7">
        <v>32.200000000000003</v>
      </c>
      <c r="M21" s="7">
        <v>31.2</v>
      </c>
      <c r="N21" s="7">
        <v>36.4</v>
      </c>
      <c r="O21" s="7">
        <v>38.9</v>
      </c>
      <c r="P21" s="7">
        <v>31.7</v>
      </c>
      <c r="Q21" s="8">
        <v>0</v>
      </c>
      <c r="R21" s="7">
        <v>128.19999999999999</v>
      </c>
      <c r="S21" s="7">
        <v>99</v>
      </c>
      <c r="T21" s="7">
        <v>29.2</v>
      </c>
      <c r="U21" s="9" t="s">
        <v>23</v>
      </c>
    </row>
    <row r="22" spans="1:21" ht="20" customHeight="1" x14ac:dyDescent="0.2">
      <c r="A22" s="5" t="s">
        <v>44</v>
      </c>
      <c r="B22" s="5">
        <v>5</v>
      </c>
      <c r="C22" s="5" t="s">
        <v>40</v>
      </c>
      <c r="D22" s="6">
        <v>0.9294</v>
      </c>
      <c r="E22" s="7">
        <v>127.2</v>
      </c>
      <c r="F22" s="7">
        <v>101.6</v>
      </c>
      <c r="G22" s="7">
        <v>25.6</v>
      </c>
      <c r="H22" s="7">
        <v>54.5</v>
      </c>
      <c r="I22" s="7">
        <v>51.3</v>
      </c>
      <c r="J22" s="7">
        <v>12.8</v>
      </c>
      <c r="K22" s="7">
        <v>14.4</v>
      </c>
      <c r="L22" s="7">
        <v>29.4</v>
      </c>
      <c r="M22" s="7">
        <v>28.2</v>
      </c>
      <c r="N22" s="7">
        <v>31.9</v>
      </c>
      <c r="O22" s="7">
        <v>36.1</v>
      </c>
      <c r="P22" s="7">
        <v>33.299999999999997</v>
      </c>
      <c r="Q22" s="8">
        <v>0</v>
      </c>
      <c r="R22" s="7">
        <v>136.1</v>
      </c>
      <c r="S22" s="7">
        <v>99.1</v>
      </c>
      <c r="T22" s="7">
        <v>37</v>
      </c>
      <c r="U22" s="9" t="s">
        <v>23</v>
      </c>
    </row>
    <row r="23" spans="1:21" ht="20" customHeight="1" x14ac:dyDescent="0.2">
      <c r="A23" s="5" t="s">
        <v>45</v>
      </c>
      <c r="B23" s="5">
        <v>6</v>
      </c>
      <c r="C23" s="5" t="s">
        <v>40</v>
      </c>
      <c r="D23" s="6">
        <v>0.88660000000000005</v>
      </c>
      <c r="E23" s="7">
        <v>124.8</v>
      </c>
      <c r="F23" s="7">
        <v>104.3</v>
      </c>
      <c r="G23" s="7">
        <v>20.5</v>
      </c>
      <c r="H23" s="7">
        <v>54.7</v>
      </c>
      <c r="I23" s="7">
        <v>51.2</v>
      </c>
      <c r="J23" s="7">
        <v>15.3</v>
      </c>
      <c r="K23" s="7">
        <v>16.5</v>
      </c>
      <c r="L23" s="7">
        <v>34.6</v>
      </c>
      <c r="M23" s="7">
        <v>29.3</v>
      </c>
      <c r="N23" s="7">
        <v>34.200000000000003</v>
      </c>
      <c r="O23" s="7">
        <v>34.9</v>
      </c>
      <c r="P23" s="7">
        <v>35.299999999999997</v>
      </c>
      <c r="Q23" s="8">
        <v>0</v>
      </c>
      <c r="R23" s="7">
        <v>124.7</v>
      </c>
      <c r="S23" s="7">
        <v>103.9</v>
      </c>
      <c r="T23" s="7">
        <v>20.8</v>
      </c>
      <c r="U23" s="9" t="s">
        <v>23</v>
      </c>
    </row>
    <row r="24" spans="1:21" ht="20" customHeight="1" x14ac:dyDescent="0.2">
      <c r="A24" s="5" t="s">
        <v>46</v>
      </c>
      <c r="B24" s="5">
        <v>7</v>
      </c>
      <c r="C24" s="5" t="s">
        <v>40</v>
      </c>
      <c r="D24" s="6">
        <v>0.88439999999999996</v>
      </c>
      <c r="E24" s="7">
        <v>121.1</v>
      </c>
      <c r="F24" s="7">
        <v>101.5</v>
      </c>
      <c r="G24" s="7">
        <v>19.600000000000001</v>
      </c>
      <c r="H24" s="7">
        <v>55.6</v>
      </c>
      <c r="I24" s="7">
        <v>51.7</v>
      </c>
      <c r="J24" s="7">
        <v>16.2</v>
      </c>
      <c r="K24" s="7">
        <v>18.399999999999999</v>
      </c>
      <c r="L24" s="7">
        <v>37</v>
      </c>
      <c r="M24" s="7">
        <v>26.3</v>
      </c>
      <c r="N24" s="7">
        <v>37.5</v>
      </c>
      <c r="O24" s="7">
        <v>34.700000000000003</v>
      </c>
      <c r="P24" s="7">
        <v>35.4</v>
      </c>
      <c r="Q24" s="8">
        <v>0</v>
      </c>
      <c r="R24" s="7">
        <v>127.3</v>
      </c>
      <c r="S24" s="7">
        <v>106.7</v>
      </c>
      <c r="T24" s="7">
        <v>20.6</v>
      </c>
      <c r="U24" s="9" t="s">
        <v>23</v>
      </c>
    </row>
    <row r="25" spans="1:21" ht="20" customHeight="1" x14ac:dyDescent="0.2">
      <c r="A25" s="5" t="s">
        <v>47</v>
      </c>
      <c r="B25" s="5">
        <v>8</v>
      </c>
      <c r="C25" s="5" t="s">
        <v>40</v>
      </c>
      <c r="D25" s="6">
        <v>0.88029999999999997</v>
      </c>
      <c r="E25" s="7">
        <v>119.6</v>
      </c>
      <c r="F25" s="7">
        <v>100.5</v>
      </c>
      <c r="G25" s="7">
        <v>19.100000000000001</v>
      </c>
      <c r="H25" s="7">
        <v>53.7</v>
      </c>
      <c r="I25" s="7">
        <v>51.3</v>
      </c>
      <c r="J25" s="7">
        <v>15.1</v>
      </c>
      <c r="K25" s="7">
        <v>18.7</v>
      </c>
      <c r="L25" s="7">
        <v>32.4</v>
      </c>
      <c r="M25" s="7">
        <v>31.7</v>
      </c>
      <c r="N25" s="7">
        <v>31.3</v>
      </c>
      <c r="O25" s="7">
        <v>35.299999999999997</v>
      </c>
      <c r="P25" s="7">
        <v>33.9</v>
      </c>
      <c r="Q25" s="8">
        <v>0</v>
      </c>
      <c r="R25" s="7">
        <v>117.1</v>
      </c>
      <c r="S25" s="7">
        <v>100.2</v>
      </c>
      <c r="T25" s="7">
        <v>16.899999999999999</v>
      </c>
      <c r="U25" s="9" t="s">
        <v>23</v>
      </c>
    </row>
    <row r="26" spans="1:21" ht="20" customHeight="1" x14ac:dyDescent="0.2">
      <c r="A26" s="5" t="s">
        <v>48</v>
      </c>
      <c r="B26" s="5">
        <v>9</v>
      </c>
      <c r="C26" s="5" t="s">
        <v>40</v>
      </c>
      <c r="D26" s="6">
        <v>0.8952</v>
      </c>
      <c r="E26" s="7">
        <v>123</v>
      </c>
      <c r="F26" s="7">
        <v>102.1</v>
      </c>
      <c r="G26" s="7">
        <v>20.9</v>
      </c>
      <c r="H26" s="7">
        <v>56.6</v>
      </c>
      <c r="I26" s="7">
        <v>49.6</v>
      </c>
      <c r="J26" s="7">
        <v>15.4</v>
      </c>
      <c r="K26" s="7">
        <v>20.6</v>
      </c>
      <c r="L26" s="7">
        <v>33.1</v>
      </c>
      <c r="M26" s="7">
        <v>32.200000000000003</v>
      </c>
      <c r="N26" s="7">
        <v>38.700000000000003</v>
      </c>
      <c r="O26" s="7">
        <v>35.1</v>
      </c>
      <c r="P26" s="7">
        <v>33.9</v>
      </c>
      <c r="Q26" s="8">
        <v>0</v>
      </c>
      <c r="R26" s="7">
        <v>119.2</v>
      </c>
      <c r="S26" s="7">
        <v>100.1</v>
      </c>
      <c r="T26" s="7">
        <v>19.100000000000001</v>
      </c>
      <c r="U26" s="9" t="s">
        <v>23</v>
      </c>
    </row>
    <row r="27" spans="1:21" ht="20" customHeight="1" x14ac:dyDescent="0.2">
      <c r="A27" s="5" t="s">
        <v>49</v>
      </c>
      <c r="B27" s="5">
        <v>10</v>
      </c>
      <c r="C27" s="5" t="s">
        <v>40</v>
      </c>
      <c r="D27" s="6">
        <v>0.85150000000000003</v>
      </c>
      <c r="E27" s="7">
        <v>119.9</v>
      </c>
      <c r="F27" s="7">
        <v>103</v>
      </c>
      <c r="G27" s="7">
        <v>16.899999999999999</v>
      </c>
      <c r="H27" s="7">
        <v>55.3</v>
      </c>
      <c r="I27" s="7">
        <v>51.4</v>
      </c>
      <c r="J27" s="7">
        <v>18</v>
      </c>
      <c r="K27" s="7">
        <v>16.600000000000001</v>
      </c>
      <c r="L27" s="7">
        <v>35.5</v>
      </c>
      <c r="M27" s="7">
        <v>31.4</v>
      </c>
      <c r="N27" s="7">
        <v>42.5</v>
      </c>
      <c r="O27" s="7">
        <v>35</v>
      </c>
      <c r="P27" s="7">
        <v>36.5</v>
      </c>
      <c r="Q27" s="8">
        <v>0</v>
      </c>
      <c r="R27" s="7">
        <v>111</v>
      </c>
      <c r="S27" s="7">
        <v>104.1</v>
      </c>
      <c r="T27" s="7">
        <v>6.9000000000000101</v>
      </c>
      <c r="U27" s="9" t="s">
        <v>23</v>
      </c>
    </row>
    <row r="28" spans="1:21" ht="20" customHeight="1" x14ac:dyDescent="0.2">
      <c r="A28" s="5" t="s">
        <v>50</v>
      </c>
      <c r="B28" s="5">
        <v>11</v>
      </c>
      <c r="C28" s="5" t="s">
        <v>40</v>
      </c>
      <c r="D28" s="6">
        <v>0.87609999999999999</v>
      </c>
      <c r="E28" s="7">
        <v>124.1</v>
      </c>
      <c r="F28" s="7">
        <v>104.7</v>
      </c>
      <c r="G28" s="7">
        <v>19.399999999999999</v>
      </c>
      <c r="H28" s="7">
        <v>55.3</v>
      </c>
      <c r="I28" s="7">
        <v>53</v>
      </c>
      <c r="J28" s="7">
        <v>13.1</v>
      </c>
      <c r="K28" s="7">
        <v>18.2</v>
      </c>
      <c r="L28" s="7">
        <v>28.5</v>
      </c>
      <c r="M28" s="7">
        <v>30.3</v>
      </c>
      <c r="N28" s="7">
        <v>35.200000000000003</v>
      </c>
      <c r="O28" s="7">
        <v>38.799999999999997</v>
      </c>
      <c r="P28" s="7">
        <v>35.6</v>
      </c>
      <c r="Q28" s="8">
        <v>0</v>
      </c>
      <c r="R28" s="7">
        <v>131</v>
      </c>
      <c r="S28" s="7">
        <v>118.6</v>
      </c>
      <c r="T28" s="7">
        <v>12.4</v>
      </c>
      <c r="U28" s="9" t="s">
        <v>23</v>
      </c>
    </row>
    <row r="29" spans="1:21" ht="20" customHeight="1" x14ac:dyDescent="0.2">
      <c r="A29" s="5" t="s">
        <v>51</v>
      </c>
      <c r="B29" s="5">
        <v>11</v>
      </c>
      <c r="C29" s="5" t="s">
        <v>40</v>
      </c>
      <c r="D29" s="6">
        <v>0.86485000000000001</v>
      </c>
      <c r="E29" s="7">
        <v>124.05</v>
      </c>
      <c r="F29" s="7">
        <v>105.55</v>
      </c>
      <c r="G29" s="7">
        <v>18.5</v>
      </c>
      <c r="H29" s="7">
        <v>54.75</v>
      </c>
      <c r="I29" s="7">
        <v>52.1</v>
      </c>
      <c r="J29" s="7">
        <v>14.2</v>
      </c>
      <c r="K29" s="7">
        <v>15.8</v>
      </c>
      <c r="L29" s="7">
        <v>32.1</v>
      </c>
      <c r="M29" s="7">
        <v>28.6</v>
      </c>
      <c r="N29" s="7">
        <v>40.700000000000003</v>
      </c>
      <c r="O29" s="7">
        <v>36.85</v>
      </c>
      <c r="P29" s="7">
        <v>35.799999999999997</v>
      </c>
      <c r="Q29" s="8">
        <v>0</v>
      </c>
      <c r="R29" s="7">
        <v>119.9</v>
      </c>
      <c r="S29" s="7">
        <v>112.45</v>
      </c>
      <c r="T29" s="7">
        <v>7.4500000000000197</v>
      </c>
      <c r="U29" s="9" t="s">
        <v>52</v>
      </c>
    </row>
    <row r="30" spans="1:21" ht="20" customHeight="1" x14ac:dyDescent="0.2">
      <c r="A30" s="5" t="s">
        <v>53</v>
      </c>
      <c r="B30" s="5">
        <v>11</v>
      </c>
      <c r="C30" s="5" t="s">
        <v>40</v>
      </c>
      <c r="D30" s="6">
        <v>0.85360000000000003</v>
      </c>
      <c r="E30" s="7">
        <v>124</v>
      </c>
      <c r="F30" s="7">
        <v>106.4</v>
      </c>
      <c r="G30" s="7">
        <v>17.600000000000001</v>
      </c>
      <c r="H30" s="7">
        <v>54.2</v>
      </c>
      <c r="I30" s="7">
        <v>51.2</v>
      </c>
      <c r="J30" s="7">
        <v>15.3</v>
      </c>
      <c r="K30" s="7">
        <v>13.4</v>
      </c>
      <c r="L30" s="7">
        <v>35.700000000000003</v>
      </c>
      <c r="M30" s="7">
        <v>26.9</v>
      </c>
      <c r="N30" s="7">
        <v>46.2</v>
      </c>
      <c r="O30" s="7">
        <v>34.9</v>
      </c>
      <c r="P30" s="7">
        <v>36</v>
      </c>
      <c r="Q30" s="8">
        <v>0</v>
      </c>
      <c r="R30" s="7">
        <v>108.8</v>
      </c>
      <c r="S30" s="7">
        <v>106.3</v>
      </c>
      <c r="T30" s="7">
        <v>2.5</v>
      </c>
      <c r="U30" s="9" t="s">
        <v>23</v>
      </c>
    </row>
    <row r="31" spans="1:21" ht="20" customHeight="1" x14ac:dyDescent="0.2">
      <c r="A31" s="5" t="s">
        <v>54</v>
      </c>
      <c r="B31" s="5">
        <v>12</v>
      </c>
      <c r="C31" s="5" t="s">
        <v>40</v>
      </c>
      <c r="D31" s="6">
        <v>0.69930000000000003</v>
      </c>
      <c r="E31" s="7">
        <v>115.7</v>
      </c>
      <c r="F31" s="7">
        <v>107.5</v>
      </c>
      <c r="G31" s="7">
        <v>8.1999999999999993</v>
      </c>
      <c r="H31" s="7">
        <v>54.7</v>
      </c>
      <c r="I31" s="7">
        <v>50.1</v>
      </c>
      <c r="J31" s="7">
        <v>13</v>
      </c>
      <c r="K31" s="7">
        <v>21.9</v>
      </c>
      <c r="L31" s="7">
        <v>32.1</v>
      </c>
      <c r="M31" s="7">
        <v>31.7</v>
      </c>
      <c r="N31" s="7">
        <v>42.9</v>
      </c>
      <c r="O31" s="7">
        <v>34.4</v>
      </c>
      <c r="P31" s="7">
        <v>31.9</v>
      </c>
      <c r="Q31" s="8">
        <v>0</v>
      </c>
      <c r="R31" s="7">
        <v>108.4</v>
      </c>
      <c r="S31" s="7">
        <v>101.5</v>
      </c>
      <c r="T31" s="7">
        <v>6.9000000000000101</v>
      </c>
      <c r="U31" s="9" t="s">
        <v>23</v>
      </c>
    </row>
    <row r="32" spans="1:21" ht="20" customHeight="1" x14ac:dyDescent="0.2">
      <c r="A32" s="5" t="s">
        <v>55</v>
      </c>
      <c r="B32" s="5">
        <v>13</v>
      </c>
      <c r="C32" s="5" t="s">
        <v>40</v>
      </c>
      <c r="D32" s="6">
        <v>0.63519999999999999</v>
      </c>
      <c r="E32" s="7">
        <v>106.9</v>
      </c>
      <c r="F32" s="7">
        <v>101.8</v>
      </c>
      <c r="G32" s="7">
        <v>5.0999999999999996</v>
      </c>
      <c r="H32" s="7">
        <v>52</v>
      </c>
      <c r="I32" s="7">
        <v>46.4</v>
      </c>
      <c r="J32" s="7">
        <v>18.899999999999999</v>
      </c>
      <c r="K32" s="7">
        <v>16.899999999999999</v>
      </c>
      <c r="L32" s="7">
        <v>31.4</v>
      </c>
      <c r="M32" s="7">
        <v>25</v>
      </c>
      <c r="N32" s="7">
        <v>42.4</v>
      </c>
      <c r="O32" s="7">
        <v>31.6</v>
      </c>
      <c r="P32" s="7">
        <v>30.7</v>
      </c>
      <c r="Q32" s="8">
        <v>0</v>
      </c>
      <c r="R32" s="7">
        <v>107.9</v>
      </c>
      <c r="S32" s="7">
        <v>103.4</v>
      </c>
      <c r="T32" s="7">
        <v>4.5</v>
      </c>
      <c r="U32" s="9" t="s">
        <v>23</v>
      </c>
    </row>
    <row r="33" spans="1:21" ht="20" customHeight="1" x14ac:dyDescent="0.2">
      <c r="A33" s="5" t="s">
        <v>56</v>
      </c>
      <c r="B33" s="5">
        <v>14</v>
      </c>
      <c r="C33" s="5" t="s">
        <v>40</v>
      </c>
      <c r="D33" s="6">
        <v>0.53380000000000005</v>
      </c>
      <c r="E33" s="7">
        <v>110.8</v>
      </c>
      <c r="F33" s="7">
        <v>109.5</v>
      </c>
      <c r="G33" s="7">
        <v>1.3</v>
      </c>
      <c r="H33" s="7">
        <v>50.7</v>
      </c>
      <c r="I33" s="7">
        <v>48.5</v>
      </c>
      <c r="J33" s="7">
        <v>16.7</v>
      </c>
      <c r="K33" s="7">
        <v>16.100000000000001</v>
      </c>
      <c r="L33" s="7">
        <v>35.5</v>
      </c>
      <c r="M33" s="7">
        <v>31.3</v>
      </c>
      <c r="N33" s="7">
        <v>45.1</v>
      </c>
      <c r="O33" s="7">
        <v>33.700000000000003</v>
      </c>
      <c r="P33" s="7">
        <v>33.9</v>
      </c>
      <c r="Q33" s="8">
        <v>0</v>
      </c>
      <c r="R33" s="7">
        <v>111.5</v>
      </c>
      <c r="S33" s="7">
        <v>109</v>
      </c>
      <c r="T33" s="7">
        <v>2.5</v>
      </c>
      <c r="U33" s="9" t="s">
        <v>23</v>
      </c>
    </row>
    <row r="34" spans="1:21" ht="20" customHeight="1" x14ac:dyDescent="0.2">
      <c r="A34" s="5" t="s">
        <v>57</v>
      </c>
      <c r="B34" s="5">
        <v>15</v>
      </c>
      <c r="C34" s="5" t="s">
        <v>40</v>
      </c>
      <c r="D34" s="6">
        <v>0.43990000000000001</v>
      </c>
      <c r="E34" s="7">
        <v>114.7</v>
      </c>
      <c r="F34" s="7">
        <v>117.1</v>
      </c>
      <c r="G34" s="7">
        <v>-2.4</v>
      </c>
      <c r="H34" s="7">
        <v>56.6</v>
      </c>
      <c r="I34" s="7">
        <v>54</v>
      </c>
      <c r="J34" s="7">
        <v>14.8</v>
      </c>
      <c r="K34" s="7">
        <v>15</v>
      </c>
      <c r="L34" s="7">
        <v>30.4</v>
      </c>
      <c r="M34" s="7">
        <v>33</v>
      </c>
      <c r="N34" s="7">
        <v>36.299999999999997</v>
      </c>
      <c r="O34" s="7">
        <v>35.9</v>
      </c>
      <c r="P34" s="7">
        <v>35.799999999999997</v>
      </c>
      <c r="Q34" s="8">
        <v>0</v>
      </c>
      <c r="R34" s="7">
        <v>114.8</v>
      </c>
      <c r="S34" s="7">
        <v>106.4</v>
      </c>
      <c r="T34" s="7">
        <v>8.3999999999999897</v>
      </c>
      <c r="U34" s="9" t="s">
        <v>23</v>
      </c>
    </row>
    <row r="35" spans="1:21" ht="20" customHeight="1" x14ac:dyDescent="0.2">
      <c r="A35" s="5" t="s">
        <v>58</v>
      </c>
      <c r="B35" s="5">
        <v>16</v>
      </c>
      <c r="C35" s="5" t="s">
        <v>40</v>
      </c>
      <c r="D35" s="6">
        <v>0.34039999999999998</v>
      </c>
      <c r="E35" s="7">
        <v>103.6</v>
      </c>
      <c r="F35" s="7">
        <v>109.8</v>
      </c>
      <c r="G35" s="7">
        <v>-6.2</v>
      </c>
      <c r="H35" s="7">
        <v>53.3</v>
      </c>
      <c r="I35" s="7">
        <v>49.8</v>
      </c>
      <c r="J35" s="7">
        <v>19</v>
      </c>
      <c r="K35" s="7">
        <v>18.899999999999999</v>
      </c>
      <c r="L35" s="7">
        <v>34.299999999999997</v>
      </c>
      <c r="M35" s="7">
        <v>32.6</v>
      </c>
      <c r="N35" s="7">
        <v>34.700000000000003</v>
      </c>
      <c r="O35" s="7">
        <v>36.1</v>
      </c>
      <c r="P35" s="7">
        <v>31.9</v>
      </c>
      <c r="Q35" s="8">
        <v>0</v>
      </c>
      <c r="R35" s="7">
        <v>107.6</v>
      </c>
      <c r="S35" s="7">
        <v>116.1</v>
      </c>
      <c r="T35" s="7">
        <v>-8.5</v>
      </c>
      <c r="U35" s="9" t="s">
        <v>23</v>
      </c>
    </row>
    <row r="36" spans="1:21" ht="20" customHeight="1" x14ac:dyDescent="0.2">
      <c r="A36" s="5" t="s">
        <v>59</v>
      </c>
      <c r="B36" s="5">
        <v>1</v>
      </c>
      <c r="C36" s="5" t="s">
        <v>60</v>
      </c>
      <c r="D36" s="6">
        <v>0.97319999999999995</v>
      </c>
      <c r="E36" s="7">
        <v>126.1</v>
      </c>
      <c r="F36" s="7">
        <v>92.3</v>
      </c>
      <c r="G36" s="7">
        <v>33.799999999999997</v>
      </c>
      <c r="H36" s="7">
        <v>53.5</v>
      </c>
      <c r="I36" s="7">
        <v>46.3</v>
      </c>
      <c r="J36" s="7">
        <v>16.5</v>
      </c>
      <c r="K36" s="7">
        <v>15.4</v>
      </c>
      <c r="L36" s="7">
        <v>43.2</v>
      </c>
      <c r="M36" s="7">
        <v>24.8</v>
      </c>
      <c r="N36" s="7">
        <v>39.1</v>
      </c>
      <c r="O36" s="7">
        <v>30.8</v>
      </c>
      <c r="P36" s="7">
        <v>32.4</v>
      </c>
      <c r="Q36" s="8">
        <v>0</v>
      </c>
      <c r="R36" s="7">
        <v>127.1</v>
      </c>
      <c r="S36" s="7">
        <v>98.8</v>
      </c>
      <c r="T36" s="7">
        <v>28.3</v>
      </c>
      <c r="U36" s="9" t="s">
        <v>23</v>
      </c>
    </row>
    <row r="37" spans="1:21" ht="20" customHeight="1" x14ac:dyDescent="0.2">
      <c r="A37" s="5" t="s">
        <v>61</v>
      </c>
      <c r="B37" s="5">
        <v>2</v>
      </c>
      <c r="C37" s="5" t="s">
        <v>60</v>
      </c>
      <c r="D37" s="6">
        <v>0.97089999999999999</v>
      </c>
      <c r="E37" s="7">
        <v>125.3</v>
      </c>
      <c r="F37" s="7">
        <v>92.4</v>
      </c>
      <c r="G37" s="7">
        <v>32.9</v>
      </c>
      <c r="H37" s="7">
        <v>52.1</v>
      </c>
      <c r="I37" s="7">
        <v>46.6</v>
      </c>
      <c r="J37" s="7">
        <v>13</v>
      </c>
      <c r="K37" s="7">
        <v>21</v>
      </c>
      <c r="L37" s="7">
        <v>35.9</v>
      </c>
      <c r="M37" s="7">
        <v>30.9</v>
      </c>
      <c r="N37" s="7">
        <v>26.9</v>
      </c>
      <c r="O37" s="7">
        <v>34.9</v>
      </c>
      <c r="P37" s="7">
        <v>32.1</v>
      </c>
      <c r="Q37" s="8">
        <v>-1</v>
      </c>
      <c r="R37" s="7">
        <v>121.8</v>
      </c>
      <c r="S37" s="7">
        <v>92.6</v>
      </c>
      <c r="T37" s="7">
        <v>29.2</v>
      </c>
      <c r="U37" s="9" t="s">
        <v>23</v>
      </c>
    </row>
    <row r="38" spans="1:21" ht="20" customHeight="1" x14ac:dyDescent="0.2">
      <c r="A38" s="5" t="s">
        <v>62</v>
      </c>
      <c r="B38" s="5">
        <v>3</v>
      </c>
      <c r="C38" s="5" t="s">
        <v>60</v>
      </c>
      <c r="D38" s="6">
        <v>0.96760000000000002</v>
      </c>
      <c r="E38" s="7">
        <v>131.9</v>
      </c>
      <c r="F38" s="7">
        <v>98.2</v>
      </c>
      <c r="G38" s="7">
        <v>33.700000000000003</v>
      </c>
      <c r="H38" s="7">
        <v>55.1</v>
      </c>
      <c r="I38" s="7">
        <v>47.6</v>
      </c>
      <c r="J38" s="7">
        <v>13.2</v>
      </c>
      <c r="K38" s="7">
        <v>11.6</v>
      </c>
      <c r="L38" s="7">
        <v>38.700000000000003</v>
      </c>
      <c r="M38" s="7">
        <v>27</v>
      </c>
      <c r="N38" s="7">
        <v>32.9</v>
      </c>
      <c r="O38" s="7">
        <v>34.700000000000003</v>
      </c>
      <c r="P38" s="7">
        <v>31.4</v>
      </c>
      <c r="Q38" s="8">
        <v>0</v>
      </c>
      <c r="R38" s="7">
        <v>126.1</v>
      </c>
      <c r="S38" s="7">
        <v>98.9</v>
      </c>
      <c r="T38" s="7">
        <v>27.2</v>
      </c>
      <c r="U38" s="9" t="s">
        <v>23</v>
      </c>
    </row>
    <row r="39" spans="1:21" ht="20" customHeight="1" x14ac:dyDescent="0.2">
      <c r="A39" s="5" t="s">
        <v>63</v>
      </c>
      <c r="B39" s="5">
        <v>4</v>
      </c>
      <c r="C39" s="5" t="s">
        <v>60</v>
      </c>
      <c r="D39" s="6">
        <v>0.93079999999999996</v>
      </c>
      <c r="E39" s="7">
        <v>117.2</v>
      </c>
      <c r="F39" s="7">
        <v>93.5</v>
      </c>
      <c r="G39" s="7">
        <v>23.7</v>
      </c>
      <c r="H39" s="7">
        <v>55.4</v>
      </c>
      <c r="I39" s="7">
        <v>47.8</v>
      </c>
      <c r="J39" s="7">
        <v>14.4</v>
      </c>
      <c r="K39" s="7">
        <v>19.2</v>
      </c>
      <c r="L39" s="7">
        <v>26.3</v>
      </c>
      <c r="M39" s="7">
        <v>27.7</v>
      </c>
      <c r="N39" s="7">
        <v>27.2</v>
      </c>
      <c r="O39" s="7">
        <v>35.299999999999997</v>
      </c>
      <c r="P39" s="7">
        <v>29.9</v>
      </c>
      <c r="Q39" s="8">
        <v>0</v>
      </c>
      <c r="R39" s="7">
        <v>106.2</v>
      </c>
      <c r="S39" s="7">
        <v>97.9</v>
      </c>
      <c r="T39" s="7">
        <v>8.3000000000000007</v>
      </c>
      <c r="U39" s="9" t="s">
        <v>23</v>
      </c>
    </row>
    <row r="40" spans="1:21" ht="20" customHeight="1" x14ac:dyDescent="0.2">
      <c r="A40" s="5" t="s">
        <v>64</v>
      </c>
      <c r="B40" s="5">
        <v>5</v>
      </c>
      <c r="C40" s="5" t="s">
        <v>60</v>
      </c>
      <c r="D40" s="6">
        <v>0.94610000000000005</v>
      </c>
      <c r="E40" s="7">
        <v>127.5</v>
      </c>
      <c r="F40" s="7">
        <v>99.4</v>
      </c>
      <c r="G40" s="7">
        <v>28.1</v>
      </c>
      <c r="H40" s="7">
        <v>55.3</v>
      </c>
      <c r="I40" s="7">
        <v>48.8</v>
      </c>
      <c r="J40" s="7">
        <v>13.3</v>
      </c>
      <c r="K40" s="7">
        <v>17.899999999999999</v>
      </c>
      <c r="L40" s="7">
        <v>31.2</v>
      </c>
      <c r="M40" s="7">
        <v>31.6</v>
      </c>
      <c r="N40" s="7">
        <v>38.200000000000003</v>
      </c>
      <c r="O40" s="7">
        <v>35.5</v>
      </c>
      <c r="P40" s="7">
        <v>32.200000000000003</v>
      </c>
      <c r="Q40" s="8">
        <v>0</v>
      </c>
      <c r="R40" s="7">
        <v>137</v>
      </c>
      <c r="S40" s="7">
        <v>101</v>
      </c>
      <c r="T40" s="7">
        <v>36</v>
      </c>
      <c r="U40" s="9" t="s">
        <v>23</v>
      </c>
    </row>
    <row r="41" spans="1:21" ht="20" customHeight="1" x14ac:dyDescent="0.2">
      <c r="A41" s="5" t="s">
        <v>65</v>
      </c>
      <c r="B41" s="5">
        <v>6</v>
      </c>
      <c r="C41" s="5" t="s">
        <v>60</v>
      </c>
      <c r="D41" s="6">
        <v>0.90300000000000002</v>
      </c>
      <c r="E41" s="7">
        <v>121.4</v>
      </c>
      <c r="F41" s="7">
        <v>100</v>
      </c>
      <c r="G41" s="7">
        <v>21.4</v>
      </c>
      <c r="H41" s="7">
        <v>54.6</v>
      </c>
      <c r="I41" s="7">
        <v>48.2</v>
      </c>
      <c r="J41" s="7">
        <v>14</v>
      </c>
      <c r="K41" s="7">
        <v>13.6</v>
      </c>
      <c r="L41" s="7">
        <v>31.4</v>
      </c>
      <c r="M41" s="7">
        <v>28.1</v>
      </c>
      <c r="N41" s="7">
        <v>37.4</v>
      </c>
      <c r="O41" s="7">
        <v>34.5</v>
      </c>
      <c r="P41" s="7">
        <v>34.5</v>
      </c>
      <c r="Q41" s="8">
        <v>-3</v>
      </c>
      <c r="R41" s="7">
        <v>117.3</v>
      </c>
      <c r="S41" s="7">
        <v>100.5</v>
      </c>
      <c r="T41" s="7">
        <v>16.8</v>
      </c>
      <c r="U41" s="9" t="s">
        <v>23</v>
      </c>
    </row>
    <row r="42" spans="1:21" ht="20" customHeight="1" x14ac:dyDescent="0.2">
      <c r="A42" s="5" t="s">
        <v>66</v>
      </c>
      <c r="B42" s="5">
        <v>7</v>
      </c>
      <c r="C42" s="5" t="s">
        <v>60</v>
      </c>
      <c r="D42" s="6">
        <v>0.91059999999999997</v>
      </c>
      <c r="E42" s="7">
        <v>119.4</v>
      </c>
      <c r="F42" s="7">
        <v>97.5</v>
      </c>
      <c r="G42" s="7">
        <v>21.9</v>
      </c>
      <c r="H42" s="7">
        <v>52.9</v>
      </c>
      <c r="I42" s="7">
        <v>46.7</v>
      </c>
      <c r="J42" s="7">
        <v>16.399999999999999</v>
      </c>
      <c r="K42" s="7">
        <v>15.2</v>
      </c>
      <c r="L42" s="7">
        <v>37.6</v>
      </c>
      <c r="M42" s="7">
        <v>23.8</v>
      </c>
      <c r="N42" s="7">
        <v>35.799999999999997</v>
      </c>
      <c r="O42" s="7">
        <v>38.6</v>
      </c>
      <c r="P42" s="7">
        <v>31.2</v>
      </c>
      <c r="Q42" s="8">
        <v>0</v>
      </c>
      <c r="R42" s="7">
        <v>122.4</v>
      </c>
      <c r="S42" s="7">
        <v>105.8</v>
      </c>
      <c r="T42" s="7">
        <v>16.600000000000001</v>
      </c>
      <c r="U42" s="9" t="s">
        <v>23</v>
      </c>
    </row>
    <row r="43" spans="1:21" ht="20" customHeight="1" x14ac:dyDescent="0.2">
      <c r="A43" s="5" t="s">
        <v>67</v>
      </c>
      <c r="B43" s="5">
        <v>8</v>
      </c>
      <c r="C43" s="5" t="s">
        <v>60</v>
      </c>
      <c r="D43" s="6">
        <v>0.8921</v>
      </c>
      <c r="E43" s="7">
        <v>116.6</v>
      </c>
      <c r="F43" s="7">
        <v>97</v>
      </c>
      <c r="G43" s="7">
        <v>19.600000000000001</v>
      </c>
      <c r="H43" s="7">
        <v>52.6</v>
      </c>
      <c r="I43" s="7">
        <v>48.9</v>
      </c>
      <c r="J43" s="7">
        <v>14.2</v>
      </c>
      <c r="K43" s="7">
        <v>17.5</v>
      </c>
      <c r="L43" s="7">
        <v>28.1</v>
      </c>
      <c r="M43" s="7">
        <v>25.7</v>
      </c>
      <c r="N43" s="7">
        <v>37.1</v>
      </c>
      <c r="O43" s="7">
        <v>34.1</v>
      </c>
      <c r="P43" s="7">
        <v>32.6</v>
      </c>
      <c r="Q43" s="8">
        <v>0</v>
      </c>
      <c r="R43" s="7">
        <v>119.4</v>
      </c>
      <c r="S43" s="7">
        <v>100.5</v>
      </c>
      <c r="T43" s="7">
        <v>18.899999999999999</v>
      </c>
      <c r="U43" s="9" t="s">
        <v>23</v>
      </c>
    </row>
    <row r="44" spans="1:21" ht="20" customHeight="1" x14ac:dyDescent="0.2">
      <c r="A44" s="5" t="s">
        <v>68</v>
      </c>
      <c r="B44" s="5">
        <v>9</v>
      </c>
      <c r="C44" s="5" t="s">
        <v>60</v>
      </c>
      <c r="D44" s="6">
        <v>0.90680000000000005</v>
      </c>
      <c r="E44" s="7">
        <v>122.1</v>
      </c>
      <c r="F44" s="7">
        <v>100.2</v>
      </c>
      <c r="G44" s="7">
        <v>21.9</v>
      </c>
      <c r="H44" s="7">
        <v>56.6</v>
      </c>
      <c r="I44" s="7">
        <v>52.7</v>
      </c>
      <c r="J44" s="7">
        <v>15.2</v>
      </c>
      <c r="K44" s="7">
        <v>21</v>
      </c>
      <c r="L44" s="7">
        <v>30.1</v>
      </c>
      <c r="M44" s="7">
        <v>28</v>
      </c>
      <c r="N44" s="7">
        <v>34.5</v>
      </c>
      <c r="O44" s="7">
        <v>35.700000000000003</v>
      </c>
      <c r="P44" s="7">
        <v>33.700000000000003</v>
      </c>
      <c r="Q44" s="8">
        <v>0</v>
      </c>
      <c r="R44" s="7">
        <v>121</v>
      </c>
      <c r="S44" s="7">
        <v>101.1</v>
      </c>
      <c r="T44" s="7">
        <v>19.899999999999999</v>
      </c>
      <c r="U44" s="9" t="s">
        <v>23</v>
      </c>
    </row>
    <row r="45" spans="1:21" ht="20" customHeight="1" x14ac:dyDescent="0.2">
      <c r="A45" s="5" t="s">
        <v>69</v>
      </c>
      <c r="B45" s="5">
        <v>10</v>
      </c>
      <c r="C45" s="5" t="s">
        <v>60</v>
      </c>
      <c r="D45" s="6">
        <v>0.87209999999999999</v>
      </c>
      <c r="E45" s="7">
        <v>119.9</v>
      </c>
      <c r="F45" s="7">
        <v>101.4</v>
      </c>
      <c r="G45" s="7">
        <v>18.5</v>
      </c>
      <c r="H45" s="7">
        <v>54.2</v>
      </c>
      <c r="I45" s="7">
        <v>50.8</v>
      </c>
      <c r="J45" s="7">
        <v>14.6</v>
      </c>
      <c r="K45" s="7">
        <v>18.3</v>
      </c>
      <c r="L45" s="7">
        <v>32.299999999999997</v>
      </c>
      <c r="M45" s="7">
        <v>32.5</v>
      </c>
      <c r="N45" s="7">
        <v>37.4</v>
      </c>
      <c r="O45" s="7">
        <v>36.200000000000003</v>
      </c>
      <c r="P45" s="7">
        <v>31.7</v>
      </c>
      <c r="Q45" s="8">
        <v>0</v>
      </c>
      <c r="R45" s="7">
        <v>112.6</v>
      </c>
      <c r="S45" s="7">
        <v>102.5</v>
      </c>
      <c r="T45" s="7">
        <v>10.1</v>
      </c>
      <c r="U45" s="9" t="s">
        <v>23</v>
      </c>
    </row>
    <row r="46" spans="1:21" ht="20" customHeight="1" x14ac:dyDescent="0.2">
      <c r="A46" s="5" t="s">
        <v>70</v>
      </c>
      <c r="B46" s="5">
        <v>11</v>
      </c>
      <c r="C46" s="5" t="s">
        <v>60</v>
      </c>
      <c r="D46" s="6">
        <v>0.84330000000000005</v>
      </c>
      <c r="E46" s="7">
        <v>119.3</v>
      </c>
      <c r="F46" s="7">
        <v>103</v>
      </c>
      <c r="G46" s="7">
        <v>16.3</v>
      </c>
      <c r="H46" s="7">
        <v>54.1</v>
      </c>
      <c r="I46" s="7">
        <v>48.9</v>
      </c>
      <c r="J46" s="7">
        <v>15.2</v>
      </c>
      <c r="K46" s="7">
        <v>17.2</v>
      </c>
      <c r="L46" s="7">
        <v>32.299999999999997</v>
      </c>
      <c r="M46" s="7">
        <v>29.9</v>
      </c>
      <c r="N46" s="7">
        <v>43.7</v>
      </c>
      <c r="O46" s="7">
        <v>36.700000000000003</v>
      </c>
      <c r="P46" s="7">
        <v>33.1</v>
      </c>
      <c r="Q46" s="8">
        <v>0</v>
      </c>
      <c r="R46" s="7">
        <v>120.7</v>
      </c>
      <c r="S46" s="7">
        <v>99.2</v>
      </c>
      <c r="T46" s="7">
        <v>21.5</v>
      </c>
      <c r="U46" s="9" t="s">
        <v>23</v>
      </c>
    </row>
    <row r="47" spans="1:21" ht="20" customHeight="1" x14ac:dyDescent="0.2">
      <c r="A47" s="5" t="s">
        <v>71</v>
      </c>
      <c r="B47" s="5">
        <v>12</v>
      </c>
      <c r="C47" s="5" t="s">
        <v>60</v>
      </c>
      <c r="D47" s="6">
        <v>0.76480000000000004</v>
      </c>
      <c r="E47" s="7">
        <v>113.2</v>
      </c>
      <c r="F47" s="7">
        <v>102.1</v>
      </c>
      <c r="G47" s="7">
        <v>11.1</v>
      </c>
      <c r="H47" s="7">
        <v>51</v>
      </c>
      <c r="I47" s="7">
        <v>48.9</v>
      </c>
      <c r="J47" s="7">
        <v>14.3</v>
      </c>
      <c r="K47" s="7">
        <v>24.6</v>
      </c>
      <c r="L47" s="7">
        <v>35</v>
      </c>
      <c r="M47" s="7">
        <v>35</v>
      </c>
      <c r="N47" s="7">
        <v>38.299999999999997</v>
      </c>
      <c r="O47" s="7">
        <v>31.6</v>
      </c>
      <c r="P47" s="7">
        <v>32.5</v>
      </c>
      <c r="Q47" s="8">
        <v>0</v>
      </c>
      <c r="R47" s="7">
        <v>112.4</v>
      </c>
      <c r="S47" s="7">
        <v>92.9</v>
      </c>
      <c r="T47" s="7">
        <v>19.5</v>
      </c>
      <c r="U47" s="9" t="s">
        <v>23</v>
      </c>
    </row>
    <row r="48" spans="1:21" ht="20" customHeight="1" x14ac:dyDescent="0.2">
      <c r="A48" s="5" t="s">
        <v>72</v>
      </c>
      <c r="B48" s="5">
        <v>13</v>
      </c>
      <c r="C48" s="5" t="s">
        <v>60</v>
      </c>
      <c r="D48" s="6">
        <v>0.54349999999999998</v>
      </c>
      <c r="E48" s="7">
        <v>110.7</v>
      </c>
      <c r="F48" s="7">
        <v>109</v>
      </c>
      <c r="G48" s="7">
        <v>1.7</v>
      </c>
      <c r="H48" s="7">
        <v>51.9</v>
      </c>
      <c r="I48" s="7">
        <v>50.1</v>
      </c>
      <c r="J48" s="7">
        <v>17</v>
      </c>
      <c r="K48" s="7">
        <v>16.899999999999999</v>
      </c>
      <c r="L48" s="7">
        <v>34.799999999999997</v>
      </c>
      <c r="M48" s="7">
        <v>31.6</v>
      </c>
      <c r="N48" s="7">
        <v>36.299999999999997</v>
      </c>
      <c r="O48" s="7">
        <v>33.200000000000003</v>
      </c>
      <c r="P48" s="7">
        <v>31.3</v>
      </c>
      <c r="Q48" s="8">
        <v>0</v>
      </c>
      <c r="R48" s="7">
        <v>113.1</v>
      </c>
      <c r="S48" s="7">
        <v>98.2</v>
      </c>
      <c r="T48" s="7">
        <v>14.9</v>
      </c>
      <c r="U48" s="9" t="s">
        <v>23</v>
      </c>
    </row>
    <row r="49" spans="1:21" ht="20" customHeight="1" x14ac:dyDescent="0.2">
      <c r="A49" s="5" t="s">
        <v>73</v>
      </c>
      <c r="B49" s="5">
        <v>14</v>
      </c>
      <c r="C49" s="5" t="s">
        <v>60</v>
      </c>
      <c r="D49" s="6">
        <v>0.53159999999999996</v>
      </c>
      <c r="E49" s="7">
        <v>106.6</v>
      </c>
      <c r="F49" s="7">
        <v>105.4</v>
      </c>
      <c r="G49" s="7">
        <v>1.2</v>
      </c>
      <c r="H49" s="7">
        <v>50.3</v>
      </c>
      <c r="I49" s="7">
        <v>51.7</v>
      </c>
      <c r="J49" s="7">
        <v>15.4</v>
      </c>
      <c r="K49" s="7">
        <v>17.8</v>
      </c>
      <c r="L49" s="7">
        <v>30.3</v>
      </c>
      <c r="M49" s="7">
        <v>30.5</v>
      </c>
      <c r="N49" s="7">
        <v>35.200000000000003</v>
      </c>
      <c r="O49" s="7">
        <v>38.700000000000003</v>
      </c>
      <c r="P49" s="7">
        <v>31.7</v>
      </c>
      <c r="Q49" s="8">
        <v>0</v>
      </c>
      <c r="R49" s="7">
        <v>108.7</v>
      </c>
      <c r="S49" s="7">
        <v>97.2</v>
      </c>
      <c r="T49" s="7">
        <v>11.5</v>
      </c>
      <c r="U49" s="9" t="s">
        <v>23</v>
      </c>
    </row>
    <row r="50" spans="1:21" ht="20" customHeight="1" x14ac:dyDescent="0.2">
      <c r="A50" s="5" t="s">
        <v>74</v>
      </c>
      <c r="B50" s="5">
        <v>15</v>
      </c>
      <c r="C50" s="5" t="s">
        <v>60</v>
      </c>
      <c r="D50" s="6">
        <v>0.57050000000000001</v>
      </c>
      <c r="E50" s="7">
        <v>108.8</v>
      </c>
      <c r="F50" s="7">
        <v>106.2</v>
      </c>
      <c r="G50" s="7">
        <v>2.6</v>
      </c>
      <c r="H50" s="7">
        <v>51.9</v>
      </c>
      <c r="I50" s="7">
        <v>50.3</v>
      </c>
      <c r="J50" s="7">
        <v>15</v>
      </c>
      <c r="K50" s="7">
        <v>15.2</v>
      </c>
      <c r="L50" s="7">
        <v>28.9</v>
      </c>
      <c r="M50" s="7">
        <v>24.2</v>
      </c>
      <c r="N50" s="7">
        <v>34.799999999999997</v>
      </c>
      <c r="O50" s="7">
        <v>34.5</v>
      </c>
      <c r="P50" s="7">
        <v>34.799999999999997</v>
      </c>
      <c r="Q50" s="8">
        <v>0</v>
      </c>
      <c r="R50" s="7">
        <v>109.9</v>
      </c>
      <c r="S50" s="7">
        <v>96.1</v>
      </c>
      <c r="T50" s="7">
        <v>13.8</v>
      </c>
      <c r="U50" s="9" t="s">
        <v>23</v>
      </c>
    </row>
    <row r="51" spans="1:21" ht="20" customHeight="1" x14ac:dyDescent="0.2">
      <c r="A51" s="5" t="s">
        <v>75</v>
      </c>
      <c r="B51" s="5">
        <v>16</v>
      </c>
      <c r="C51" s="5" t="s">
        <v>60</v>
      </c>
      <c r="D51" s="6">
        <v>0.25169999999999998</v>
      </c>
      <c r="E51" s="7">
        <v>102.6</v>
      </c>
      <c r="F51" s="7">
        <v>112.8</v>
      </c>
      <c r="G51" s="7">
        <v>-10.199999999999999</v>
      </c>
      <c r="H51" s="7">
        <v>53.3</v>
      </c>
      <c r="I51" s="7">
        <v>50.6</v>
      </c>
      <c r="J51" s="7">
        <v>17.5</v>
      </c>
      <c r="K51" s="7">
        <v>16.3</v>
      </c>
      <c r="L51" s="7">
        <v>22.8</v>
      </c>
      <c r="M51" s="7">
        <v>31.7</v>
      </c>
      <c r="N51" s="7">
        <v>32.200000000000003</v>
      </c>
      <c r="O51" s="7">
        <v>36.5</v>
      </c>
      <c r="P51" s="7">
        <v>32.799999999999997</v>
      </c>
      <c r="Q51" s="8">
        <v>0</v>
      </c>
      <c r="R51" s="7">
        <v>101.9</v>
      </c>
      <c r="S51" s="7">
        <v>104</v>
      </c>
      <c r="T51" s="7">
        <v>-2.0999999999999899</v>
      </c>
      <c r="U51" s="9" t="s">
        <v>23</v>
      </c>
    </row>
    <row r="52" spans="1:21" ht="20" customHeight="1" x14ac:dyDescent="0.2">
      <c r="A52" s="5" t="s">
        <v>76</v>
      </c>
      <c r="B52" s="5">
        <v>16</v>
      </c>
      <c r="C52" s="5" t="s">
        <v>60</v>
      </c>
      <c r="D52" s="6">
        <v>0.25340000000000001</v>
      </c>
      <c r="E52" s="7">
        <v>102.05</v>
      </c>
      <c r="F52" s="7">
        <v>112.1</v>
      </c>
      <c r="G52" s="7">
        <v>-10.050000000000001</v>
      </c>
      <c r="H52" s="7">
        <v>50.6</v>
      </c>
      <c r="I52" s="7">
        <v>50.5</v>
      </c>
      <c r="J52" s="7">
        <v>16.75</v>
      </c>
      <c r="K52" s="7">
        <v>17.7</v>
      </c>
      <c r="L52" s="7">
        <v>24.95</v>
      </c>
      <c r="M52" s="7">
        <v>33.25</v>
      </c>
      <c r="N52" s="7">
        <v>37.5</v>
      </c>
      <c r="O52" s="7">
        <v>34.85</v>
      </c>
      <c r="P52" s="7">
        <v>33.9</v>
      </c>
      <c r="Q52" s="8">
        <v>0</v>
      </c>
      <c r="R52" s="7">
        <v>102.3</v>
      </c>
      <c r="S52" s="7">
        <v>101.1</v>
      </c>
      <c r="T52" s="7">
        <v>1.2000000000000199</v>
      </c>
      <c r="U52" s="9" t="s">
        <v>52</v>
      </c>
    </row>
    <row r="53" spans="1:21" ht="20" customHeight="1" x14ac:dyDescent="0.2">
      <c r="A53" s="5" t="s">
        <v>77</v>
      </c>
      <c r="B53" s="5">
        <v>16</v>
      </c>
      <c r="C53" s="5" t="s">
        <v>60</v>
      </c>
      <c r="D53" s="6">
        <v>0.25509999999999999</v>
      </c>
      <c r="E53" s="7">
        <v>101.5</v>
      </c>
      <c r="F53" s="7">
        <v>111.4</v>
      </c>
      <c r="G53" s="7">
        <v>-9.9</v>
      </c>
      <c r="H53" s="7">
        <v>47.9</v>
      </c>
      <c r="I53" s="7">
        <v>50.4</v>
      </c>
      <c r="J53" s="7">
        <v>16</v>
      </c>
      <c r="K53" s="7">
        <v>19.100000000000001</v>
      </c>
      <c r="L53" s="7">
        <v>27.1</v>
      </c>
      <c r="M53" s="7">
        <v>34.799999999999997</v>
      </c>
      <c r="N53" s="7">
        <v>42.8</v>
      </c>
      <c r="O53" s="7">
        <v>33.200000000000003</v>
      </c>
      <c r="P53" s="7">
        <v>35</v>
      </c>
      <c r="Q53" s="8">
        <v>0</v>
      </c>
      <c r="R53" s="7">
        <v>102.7</v>
      </c>
      <c r="S53" s="7">
        <v>98.2</v>
      </c>
      <c r="T53" s="7">
        <v>4.5</v>
      </c>
      <c r="U53" s="9" t="s">
        <v>23</v>
      </c>
    </row>
    <row r="54" spans="1:21" ht="20" customHeight="1" x14ac:dyDescent="0.2">
      <c r="A54" s="5" t="s">
        <v>78</v>
      </c>
      <c r="B54" s="5">
        <v>1</v>
      </c>
      <c r="C54" s="5" t="s">
        <v>79</v>
      </c>
      <c r="D54" s="6">
        <v>0.97989999999999999</v>
      </c>
      <c r="E54" s="7">
        <v>127.7</v>
      </c>
      <c r="F54" s="7">
        <v>91</v>
      </c>
      <c r="G54" s="7">
        <v>36.700000000000003</v>
      </c>
      <c r="H54" s="7">
        <v>58.1</v>
      </c>
      <c r="I54" s="7">
        <v>44.7</v>
      </c>
      <c r="J54" s="7">
        <v>16.7</v>
      </c>
      <c r="K54" s="7">
        <v>15.5</v>
      </c>
      <c r="L54" s="7">
        <v>35.4</v>
      </c>
      <c r="M54" s="7">
        <v>27.7</v>
      </c>
      <c r="N54" s="7">
        <v>37.700000000000003</v>
      </c>
      <c r="O54" s="7">
        <v>36</v>
      </c>
      <c r="P54" s="7">
        <v>30.2</v>
      </c>
      <c r="Q54" s="8">
        <v>-2</v>
      </c>
      <c r="R54" s="7">
        <v>121.5</v>
      </c>
      <c r="S54" s="7">
        <v>93.6</v>
      </c>
      <c r="T54" s="7">
        <v>27.9</v>
      </c>
      <c r="U54" s="9" t="s">
        <v>23</v>
      </c>
    </row>
    <row r="55" spans="1:21" ht="20" customHeight="1" x14ac:dyDescent="0.2">
      <c r="A55" s="5" t="s">
        <v>80</v>
      </c>
      <c r="B55" s="5">
        <v>2</v>
      </c>
      <c r="C55" s="5" t="s">
        <v>79</v>
      </c>
      <c r="D55" s="6">
        <v>0.96550000000000002</v>
      </c>
      <c r="E55" s="7">
        <v>123.8</v>
      </c>
      <c r="F55" s="7">
        <v>92.6</v>
      </c>
      <c r="G55" s="7">
        <v>31.2</v>
      </c>
      <c r="H55" s="7">
        <v>56.5</v>
      </c>
      <c r="I55" s="7">
        <v>49.5</v>
      </c>
      <c r="J55" s="7">
        <v>15.1</v>
      </c>
      <c r="K55" s="7">
        <v>22.4</v>
      </c>
      <c r="L55" s="7">
        <v>35.299999999999997</v>
      </c>
      <c r="M55" s="7">
        <v>28.1</v>
      </c>
      <c r="N55" s="7">
        <v>34</v>
      </c>
      <c r="O55" s="7">
        <v>38.700000000000003</v>
      </c>
      <c r="P55" s="7">
        <v>32.1</v>
      </c>
      <c r="Q55" s="8">
        <v>0</v>
      </c>
      <c r="R55" s="7">
        <v>124.8</v>
      </c>
      <c r="S55" s="7">
        <v>85.5</v>
      </c>
      <c r="T55" s="7">
        <v>39.299999999999997</v>
      </c>
      <c r="U55" s="9" t="s">
        <v>23</v>
      </c>
    </row>
    <row r="56" spans="1:21" ht="20" customHeight="1" x14ac:dyDescent="0.2">
      <c r="A56" s="5" t="s">
        <v>81</v>
      </c>
      <c r="B56" s="5">
        <v>3</v>
      </c>
      <c r="C56" s="5" t="s">
        <v>79</v>
      </c>
      <c r="D56" s="6">
        <v>0.94269999999999998</v>
      </c>
      <c r="E56" s="7">
        <v>122.3</v>
      </c>
      <c r="F56" s="7">
        <v>95.8</v>
      </c>
      <c r="G56" s="7">
        <v>26.5</v>
      </c>
      <c r="H56" s="7">
        <v>54.6</v>
      </c>
      <c r="I56" s="7">
        <v>45.3</v>
      </c>
      <c r="J56" s="7">
        <v>16</v>
      </c>
      <c r="K56" s="7">
        <v>15.6</v>
      </c>
      <c r="L56" s="7">
        <v>37.9</v>
      </c>
      <c r="M56" s="7">
        <v>29.2</v>
      </c>
      <c r="N56" s="7">
        <v>33</v>
      </c>
      <c r="O56" s="7">
        <v>35.9</v>
      </c>
      <c r="P56" s="7">
        <v>30.9</v>
      </c>
      <c r="Q56" s="8">
        <v>0</v>
      </c>
      <c r="R56" s="7">
        <v>126.7</v>
      </c>
      <c r="S56" s="7">
        <v>96</v>
      </c>
      <c r="T56" s="7">
        <v>30.7</v>
      </c>
      <c r="U56" s="9" t="s">
        <v>23</v>
      </c>
    </row>
    <row r="57" spans="1:21" ht="20" customHeight="1" x14ac:dyDescent="0.2">
      <c r="A57" s="5" t="s">
        <v>82</v>
      </c>
      <c r="B57" s="5">
        <v>4</v>
      </c>
      <c r="C57" s="5" t="s">
        <v>79</v>
      </c>
      <c r="D57" s="6">
        <v>0.93440000000000001</v>
      </c>
      <c r="E57" s="7">
        <v>129.5</v>
      </c>
      <c r="F57" s="7">
        <v>102.8</v>
      </c>
      <c r="G57" s="7">
        <v>26.7</v>
      </c>
      <c r="H57" s="7">
        <v>55.4</v>
      </c>
      <c r="I57" s="7">
        <v>49.2</v>
      </c>
      <c r="J57" s="7">
        <v>13</v>
      </c>
      <c r="K57" s="7">
        <v>12.6</v>
      </c>
      <c r="L57" s="7">
        <v>31.8</v>
      </c>
      <c r="M57" s="7">
        <v>32.799999999999997</v>
      </c>
      <c r="N57" s="7">
        <v>37.200000000000003</v>
      </c>
      <c r="O57" s="7">
        <v>35.799999999999997</v>
      </c>
      <c r="P57" s="7">
        <v>33.5</v>
      </c>
      <c r="Q57" s="8">
        <v>0</v>
      </c>
      <c r="R57" s="7">
        <v>125.9</v>
      </c>
      <c r="S57" s="7">
        <v>107.2</v>
      </c>
      <c r="T57" s="7">
        <v>18.7</v>
      </c>
      <c r="U57" s="9" t="s">
        <v>23</v>
      </c>
    </row>
    <row r="58" spans="1:21" ht="20" customHeight="1" x14ac:dyDescent="0.2">
      <c r="A58" s="5" t="s">
        <v>83</v>
      </c>
      <c r="B58" s="5">
        <v>5</v>
      </c>
      <c r="C58" s="5" t="s">
        <v>79</v>
      </c>
      <c r="D58" s="6">
        <v>0.94389999999999996</v>
      </c>
      <c r="E58" s="7">
        <v>126.3</v>
      </c>
      <c r="F58" s="7">
        <v>98.8</v>
      </c>
      <c r="G58" s="7">
        <v>27.5</v>
      </c>
      <c r="H58" s="7">
        <v>56.2</v>
      </c>
      <c r="I58" s="7">
        <v>49.4</v>
      </c>
      <c r="J58" s="7">
        <v>15.9</v>
      </c>
      <c r="K58" s="7">
        <v>14.7</v>
      </c>
      <c r="L58" s="7">
        <v>33.299999999999997</v>
      </c>
      <c r="M58" s="7">
        <v>30.1</v>
      </c>
      <c r="N58" s="7">
        <v>27.1</v>
      </c>
      <c r="O58" s="7">
        <v>39.299999999999997</v>
      </c>
      <c r="P58" s="7">
        <v>31.5</v>
      </c>
      <c r="Q58" s="8">
        <v>0</v>
      </c>
      <c r="R58" s="7">
        <v>117.7</v>
      </c>
      <c r="S58" s="7">
        <v>105.4</v>
      </c>
      <c r="T58" s="7">
        <v>12.3</v>
      </c>
      <c r="U58" s="9" t="s">
        <v>23</v>
      </c>
    </row>
    <row r="59" spans="1:21" ht="20" customHeight="1" x14ac:dyDescent="0.2">
      <c r="A59" s="5" t="s">
        <v>84</v>
      </c>
      <c r="B59" s="5">
        <v>6</v>
      </c>
      <c r="C59" s="5" t="s">
        <v>79</v>
      </c>
      <c r="D59" s="6">
        <v>0.94079999999999997</v>
      </c>
      <c r="E59" s="7">
        <v>121.5</v>
      </c>
      <c r="F59" s="7">
        <v>95.5</v>
      </c>
      <c r="G59" s="7">
        <v>26</v>
      </c>
      <c r="H59" s="7">
        <v>51.6</v>
      </c>
      <c r="I59" s="7">
        <v>47.7</v>
      </c>
      <c r="J59" s="7">
        <v>17.100000000000001</v>
      </c>
      <c r="K59" s="7">
        <v>16.3</v>
      </c>
      <c r="L59" s="7">
        <v>45.1</v>
      </c>
      <c r="M59" s="7">
        <v>27.9</v>
      </c>
      <c r="N59" s="7">
        <v>38.700000000000003</v>
      </c>
      <c r="O59" s="7">
        <v>33.4</v>
      </c>
      <c r="P59" s="7">
        <v>30.6</v>
      </c>
      <c r="Q59" s="8">
        <v>0</v>
      </c>
      <c r="R59" s="7">
        <v>120.4</v>
      </c>
      <c r="S59" s="7">
        <v>97.6</v>
      </c>
      <c r="T59" s="7">
        <v>22.8</v>
      </c>
      <c r="U59" s="9" t="s">
        <v>23</v>
      </c>
    </row>
    <row r="60" spans="1:21" ht="20" customHeight="1" x14ac:dyDescent="0.2">
      <c r="A60" s="5" t="s">
        <v>85</v>
      </c>
      <c r="B60" s="5">
        <v>7</v>
      </c>
      <c r="C60" s="5" t="s">
        <v>79</v>
      </c>
      <c r="D60" s="6">
        <v>0.89</v>
      </c>
      <c r="E60" s="7">
        <v>119.9</v>
      </c>
      <c r="F60" s="7">
        <v>100</v>
      </c>
      <c r="G60" s="7">
        <v>19.899999999999999</v>
      </c>
      <c r="H60" s="7">
        <v>53.1</v>
      </c>
      <c r="I60" s="7">
        <v>48.8</v>
      </c>
      <c r="J60" s="7">
        <v>15</v>
      </c>
      <c r="K60" s="7">
        <v>15.8</v>
      </c>
      <c r="L60" s="7">
        <v>33.799999999999997</v>
      </c>
      <c r="M60" s="7">
        <v>30.1</v>
      </c>
      <c r="N60" s="7">
        <v>37.5</v>
      </c>
      <c r="O60" s="7">
        <v>34.1</v>
      </c>
      <c r="P60" s="7">
        <v>31.6</v>
      </c>
      <c r="Q60" s="8">
        <v>-1</v>
      </c>
      <c r="R60" s="7">
        <v>118</v>
      </c>
      <c r="S60" s="7">
        <v>101.6</v>
      </c>
      <c r="T60" s="7">
        <v>16.399999999999999</v>
      </c>
      <c r="U60" s="9" t="s">
        <v>23</v>
      </c>
    </row>
    <row r="61" spans="1:21" ht="20" customHeight="1" x14ac:dyDescent="0.2">
      <c r="A61" s="5" t="s">
        <v>86</v>
      </c>
      <c r="B61" s="5">
        <v>8</v>
      </c>
      <c r="C61" s="5" t="s">
        <v>79</v>
      </c>
      <c r="D61" s="6">
        <v>0.87770000000000004</v>
      </c>
      <c r="E61" s="7">
        <v>124.4</v>
      </c>
      <c r="F61" s="7">
        <v>104.8</v>
      </c>
      <c r="G61" s="7">
        <v>19.600000000000001</v>
      </c>
      <c r="H61" s="7">
        <v>54.6</v>
      </c>
      <c r="I61" s="7">
        <v>50.1</v>
      </c>
      <c r="J61" s="7">
        <v>14.3</v>
      </c>
      <c r="K61" s="7">
        <v>18.399999999999999</v>
      </c>
      <c r="L61" s="7">
        <v>35.200000000000003</v>
      </c>
      <c r="M61" s="7">
        <v>34.9</v>
      </c>
      <c r="N61" s="7">
        <v>37</v>
      </c>
      <c r="O61" s="7">
        <v>34.1</v>
      </c>
      <c r="P61" s="7">
        <v>33.700000000000003</v>
      </c>
      <c r="Q61" s="8">
        <v>0</v>
      </c>
      <c r="R61" s="7">
        <v>123.4</v>
      </c>
      <c r="S61" s="7">
        <v>106.3</v>
      </c>
      <c r="T61" s="7">
        <v>17.100000000000001</v>
      </c>
      <c r="U61" s="9" t="s">
        <v>23</v>
      </c>
    </row>
    <row r="62" spans="1:21" ht="20" customHeight="1" x14ac:dyDescent="0.2">
      <c r="A62" s="5" t="s">
        <v>87</v>
      </c>
      <c r="B62" s="5">
        <v>9</v>
      </c>
      <c r="C62" s="5" t="s">
        <v>79</v>
      </c>
      <c r="D62" s="6">
        <v>0.85729999999999995</v>
      </c>
      <c r="E62" s="7">
        <v>119.5</v>
      </c>
      <c r="F62" s="7">
        <v>102.3</v>
      </c>
      <c r="G62" s="7">
        <v>17.2</v>
      </c>
      <c r="H62" s="7">
        <v>59.7</v>
      </c>
      <c r="I62" s="7">
        <v>44.8</v>
      </c>
      <c r="J62" s="7">
        <v>17.399999999999999</v>
      </c>
      <c r="K62" s="7">
        <v>16.100000000000001</v>
      </c>
      <c r="L62" s="7">
        <v>31.1</v>
      </c>
      <c r="M62" s="7">
        <v>27</v>
      </c>
      <c r="N62" s="7">
        <v>34.700000000000003</v>
      </c>
      <c r="O62" s="7">
        <v>40.5</v>
      </c>
      <c r="P62" s="7">
        <v>30</v>
      </c>
      <c r="Q62" s="8">
        <v>0</v>
      </c>
      <c r="R62" s="7">
        <v>113.6</v>
      </c>
      <c r="S62" s="7">
        <v>111.8</v>
      </c>
      <c r="T62" s="7">
        <v>1.8</v>
      </c>
      <c r="U62" s="9" t="s">
        <v>23</v>
      </c>
    </row>
    <row r="63" spans="1:21" ht="20" customHeight="1" x14ac:dyDescent="0.2">
      <c r="A63" s="5" t="s">
        <v>88</v>
      </c>
      <c r="B63" s="5">
        <v>10</v>
      </c>
      <c r="C63" s="5" t="s">
        <v>79</v>
      </c>
      <c r="D63" s="6">
        <v>0.89500000000000002</v>
      </c>
      <c r="E63" s="7">
        <v>125</v>
      </c>
      <c r="F63" s="7">
        <v>103.8</v>
      </c>
      <c r="G63" s="7">
        <v>21.2</v>
      </c>
      <c r="H63" s="7">
        <v>54.6</v>
      </c>
      <c r="I63" s="7">
        <v>51.8</v>
      </c>
      <c r="J63" s="7">
        <v>15.6</v>
      </c>
      <c r="K63" s="7">
        <v>20.100000000000001</v>
      </c>
      <c r="L63" s="7">
        <v>36.700000000000003</v>
      </c>
      <c r="M63" s="7">
        <v>32.299999999999997</v>
      </c>
      <c r="N63" s="7">
        <v>25.8</v>
      </c>
      <c r="O63" s="7">
        <v>34.9</v>
      </c>
      <c r="P63" s="7">
        <v>33</v>
      </c>
      <c r="Q63" s="8">
        <v>0</v>
      </c>
      <c r="R63" s="7">
        <v>136.4</v>
      </c>
      <c r="S63" s="7">
        <v>110.4</v>
      </c>
      <c r="T63" s="7">
        <v>26</v>
      </c>
      <c r="U63" s="9" t="s">
        <v>23</v>
      </c>
    </row>
    <row r="64" spans="1:21" ht="20" customHeight="1" x14ac:dyDescent="0.2">
      <c r="A64" s="5" t="s">
        <v>89</v>
      </c>
      <c r="B64" s="5">
        <v>11</v>
      </c>
      <c r="C64" s="5" t="s">
        <v>79</v>
      </c>
      <c r="D64" s="6">
        <v>0.71750000000000003</v>
      </c>
      <c r="E64" s="7">
        <v>116.7</v>
      </c>
      <c r="F64" s="7">
        <v>107.6</v>
      </c>
      <c r="G64" s="7">
        <v>9.1</v>
      </c>
      <c r="H64" s="7">
        <v>59.2</v>
      </c>
      <c r="I64" s="7">
        <v>50.8</v>
      </c>
      <c r="J64" s="7">
        <v>14.5</v>
      </c>
      <c r="K64" s="7">
        <v>17.5</v>
      </c>
      <c r="L64" s="7">
        <v>25.3</v>
      </c>
      <c r="M64" s="7">
        <v>28.1</v>
      </c>
      <c r="N64" s="7">
        <v>40.200000000000003</v>
      </c>
      <c r="O64" s="7">
        <v>37.5</v>
      </c>
      <c r="P64" s="7">
        <v>33</v>
      </c>
      <c r="Q64" s="8">
        <v>0</v>
      </c>
      <c r="R64" s="7">
        <v>119.3</v>
      </c>
      <c r="S64" s="7">
        <v>116.2</v>
      </c>
      <c r="T64" s="7">
        <v>3.0999999999999899</v>
      </c>
      <c r="U64" s="9" t="s">
        <v>23</v>
      </c>
    </row>
    <row r="65" spans="1:21" ht="20" customHeight="1" x14ac:dyDescent="0.2">
      <c r="A65" s="5" t="s">
        <v>90</v>
      </c>
      <c r="B65" s="5">
        <v>11</v>
      </c>
      <c r="C65" s="5" t="s">
        <v>79</v>
      </c>
      <c r="D65" s="6">
        <v>0.86080000000000001</v>
      </c>
      <c r="E65" s="7">
        <v>123</v>
      </c>
      <c r="F65" s="7">
        <v>105</v>
      </c>
      <c r="G65" s="7">
        <v>18</v>
      </c>
      <c r="H65" s="7">
        <v>55.7</v>
      </c>
      <c r="I65" s="7">
        <v>51.4</v>
      </c>
      <c r="J65" s="7">
        <v>15.9</v>
      </c>
      <c r="K65" s="7">
        <v>17.100000000000001</v>
      </c>
      <c r="L65" s="7">
        <v>35.4</v>
      </c>
      <c r="M65" s="7">
        <v>31.6</v>
      </c>
      <c r="N65" s="7">
        <v>30.6</v>
      </c>
      <c r="O65" s="7">
        <v>37.4</v>
      </c>
      <c r="P65" s="7">
        <v>33.9</v>
      </c>
      <c r="Q65" s="8">
        <v>-0.5</v>
      </c>
      <c r="R65" s="7">
        <v>113.5</v>
      </c>
      <c r="S65" s="7">
        <v>101</v>
      </c>
      <c r="T65" s="7">
        <v>12.5</v>
      </c>
      <c r="U65" s="9" t="s">
        <v>23</v>
      </c>
    </row>
    <row r="66" spans="1:21" ht="20" customHeight="1" x14ac:dyDescent="0.2">
      <c r="A66" s="5" t="s">
        <v>91</v>
      </c>
      <c r="B66" s="5">
        <v>11</v>
      </c>
      <c r="C66" s="5" t="s">
        <v>79</v>
      </c>
      <c r="D66" s="6">
        <v>0.78915000000000002</v>
      </c>
      <c r="E66" s="7">
        <v>119.85</v>
      </c>
      <c r="F66" s="7">
        <v>106.3</v>
      </c>
      <c r="G66" s="7">
        <v>13.55</v>
      </c>
      <c r="H66" s="7">
        <v>57.45</v>
      </c>
      <c r="I66" s="7">
        <v>51.1</v>
      </c>
      <c r="J66" s="7">
        <v>15.2</v>
      </c>
      <c r="K66" s="7">
        <v>17.3</v>
      </c>
      <c r="L66" s="7">
        <v>30.35</v>
      </c>
      <c r="M66" s="7">
        <v>29.85</v>
      </c>
      <c r="N66" s="7">
        <v>35.4</v>
      </c>
      <c r="O66" s="7">
        <v>37.450000000000003</v>
      </c>
      <c r="P66" s="7">
        <v>33.450000000000003</v>
      </c>
      <c r="Q66" s="8">
        <v>0</v>
      </c>
      <c r="R66" s="7">
        <v>116.4</v>
      </c>
      <c r="S66" s="7">
        <v>108.6</v>
      </c>
      <c r="T66" s="7">
        <v>7.8000000000000096</v>
      </c>
      <c r="U66" s="9" t="s">
        <v>52</v>
      </c>
    </row>
    <row r="67" spans="1:21" ht="20" customHeight="1" x14ac:dyDescent="0.2">
      <c r="A67" s="5" t="s">
        <v>92</v>
      </c>
      <c r="B67" s="5">
        <v>12</v>
      </c>
      <c r="C67" s="5" t="s">
        <v>79</v>
      </c>
      <c r="D67" s="6">
        <v>0.77249999999999996</v>
      </c>
      <c r="E67" s="7">
        <v>117.2</v>
      </c>
      <c r="F67" s="7">
        <v>105.4</v>
      </c>
      <c r="G67" s="7">
        <v>11.8</v>
      </c>
      <c r="H67" s="7">
        <v>58.5</v>
      </c>
      <c r="I67" s="7">
        <v>50.6</v>
      </c>
      <c r="J67" s="7">
        <v>15.5</v>
      </c>
      <c r="K67" s="7">
        <v>18.399999999999999</v>
      </c>
      <c r="L67" s="7">
        <v>33.5</v>
      </c>
      <c r="M67" s="7">
        <v>29.9</v>
      </c>
      <c r="N67" s="7">
        <v>29.1</v>
      </c>
      <c r="O67" s="7">
        <v>38.5</v>
      </c>
      <c r="P67" s="7">
        <v>35.1</v>
      </c>
      <c r="Q67" s="8">
        <v>0</v>
      </c>
      <c r="R67" s="7">
        <v>109.1</v>
      </c>
      <c r="S67" s="7">
        <v>99.8</v>
      </c>
      <c r="T67" s="7">
        <v>9.3000000000000007</v>
      </c>
      <c r="U67" s="9" t="s">
        <v>23</v>
      </c>
    </row>
    <row r="68" spans="1:21" ht="20" customHeight="1" x14ac:dyDescent="0.2">
      <c r="A68" s="5" t="s">
        <v>93</v>
      </c>
      <c r="B68" s="5">
        <v>13</v>
      </c>
      <c r="C68" s="5" t="s">
        <v>79</v>
      </c>
      <c r="D68" s="6">
        <v>0.70540000000000003</v>
      </c>
      <c r="E68" s="7">
        <v>113.2</v>
      </c>
      <c r="F68" s="7">
        <v>104.9</v>
      </c>
      <c r="G68" s="7">
        <v>8.3000000000000007</v>
      </c>
      <c r="H68" s="7">
        <v>51.5</v>
      </c>
      <c r="I68" s="7">
        <v>45.9</v>
      </c>
      <c r="J68" s="7">
        <v>16.100000000000001</v>
      </c>
      <c r="K68" s="7">
        <v>15</v>
      </c>
      <c r="L68" s="7">
        <v>34.9</v>
      </c>
      <c r="M68" s="7">
        <v>30.5</v>
      </c>
      <c r="N68" s="7">
        <v>32.5</v>
      </c>
      <c r="O68" s="7">
        <v>36.799999999999997</v>
      </c>
      <c r="P68" s="7">
        <v>32.299999999999997</v>
      </c>
      <c r="Q68" s="8">
        <v>0</v>
      </c>
      <c r="R68" s="7">
        <v>117.5</v>
      </c>
      <c r="S68" s="7">
        <v>104.8</v>
      </c>
      <c r="T68" s="7">
        <v>12.7</v>
      </c>
      <c r="U68" s="9" t="s">
        <v>23</v>
      </c>
    </row>
    <row r="69" spans="1:21" ht="20" customHeight="1" x14ac:dyDescent="0.2">
      <c r="A69" s="5" t="s">
        <v>94</v>
      </c>
      <c r="B69" s="5">
        <v>14</v>
      </c>
      <c r="C69" s="5" t="s">
        <v>79</v>
      </c>
      <c r="D69" s="6">
        <v>0.58589999999999998</v>
      </c>
      <c r="E69" s="7">
        <v>112.4</v>
      </c>
      <c r="F69" s="7">
        <v>109</v>
      </c>
      <c r="G69" s="7">
        <v>3.4</v>
      </c>
      <c r="H69" s="7">
        <v>54.4</v>
      </c>
      <c r="I69" s="7">
        <v>52.1</v>
      </c>
      <c r="J69" s="7">
        <v>16.3</v>
      </c>
      <c r="K69" s="7">
        <v>16.5</v>
      </c>
      <c r="L69" s="7">
        <v>33.200000000000003</v>
      </c>
      <c r="M69" s="7">
        <v>29.2</v>
      </c>
      <c r="N69" s="7">
        <v>38</v>
      </c>
      <c r="O69" s="7">
        <v>36.1</v>
      </c>
      <c r="P69" s="7">
        <v>33.6</v>
      </c>
      <c r="Q69" s="8">
        <v>0</v>
      </c>
      <c r="R69" s="7">
        <v>109.2</v>
      </c>
      <c r="S69" s="7">
        <v>102.6</v>
      </c>
      <c r="T69" s="7">
        <v>6.6000000000000103</v>
      </c>
      <c r="U69" s="9" t="s">
        <v>23</v>
      </c>
    </row>
    <row r="70" spans="1:21" ht="20" customHeight="1" x14ac:dyDescent="0.2">
      <c r="A70" s="5" t="s">
        <v>95</v>
      </c>
      <c r="B70" s="5">
        <v>15</v>
      </c>
      <c r="C70" s="5" t="s">
        <v>79</v>
      </c>
      <c r="D70" s="6">
        <v>0.39510000000000001</v>
      </c>
      <c r="E70" s="7">
        <v>107.8</v>
      </c>
      <c r="F70" s="7">
        <v>111.9</v>
      </c>
      <c r="G70" s="7">
        <v>-4.0999999999999996</v>
      </c>
      <c r="H70" s="7">
        <v>50.1</v>
      </c>
      <c r="I70" s="7">
        <v>51.2</v>
      </c>
      <c r="J70" s="7">
        <v>16.5</v>
      </c>
      <c r="K70" s="7">
        <v>20</v>
      </c>
      <c r="L70" s="7">
        <v>34.9</v>
      </c>
      <c r="M70" s="7">
        <v>29.9</v>
      </c>
      <c r="N70" s="7">
        <v>33.5</v>
      </c>
      <c r="O70" s="7">
        <v>33.700000000000003</v>
      </c>
      <c r="P70" s="7">
        <v>33.5</v>
      </c>
      <c r="Q70" s="8">
        <v>0</v>
      </c>
      <c r="R70" s="7">
        <v>119.2</v>
      </c>
      <c r="S70" s="7">
        <v>99.4</v>
      </c>
      <c r="T70" s="7">
        <v>19.8</v>
      </c>
      <c r="U70" s="9" t="s">
        <v>23</v>
      </c>
    </row>
    <row r="71" spans="1:21" ht="20" customHeight="1" x14ac:dyDescent="0.2">
      <c r="A71" s="5" t="s">
        <v>96</v>
      </c>
      <c r="B71" s="5">
        <v>16</v>
      </c>
      <c r="C71" s="5" t="s">
        <v>79</v>
      </c>
      <c r="D71" s="6">
        <v>0.42509999999999998</v>
      </c>
      <c r="E71" s="7">
        <v>103.5</v>
      </c>
      <c r="F71" s="7">
        <v>106.2</v>
      </c>
      <c r="G71" s="7">
        <v>-2.7</v>
      </c>
      <c r="H71" s="7">
        <v>50.6</v>
      </c>
      <c r="I71" s="7">
        <v>47.4</v>
      </c>
      <c r="J71" s="7">
        <v>19.8</v>
      </c>
      <c r="K71" s="7">
        <v>21.3</v>
      </c>
      <c r="L71" s="7">
        <v>36.6</v>
      </c>
      <c r="M71" s="7">
        <v>32</v>
      </c>
      <c r="N71" s="7">
        <v>44.2</v>
      </c>
      <c r="O71" s="7">
        <v>34.700000000000003</v>
      </c>
      <c r="P71" s="7">
        <v>30.4</v>
      </c>
      <c r="Q71" s="8">
        <v>0</v>
      </c>
      <c r="R71" s="7">
        <v>105.6</v>
      </c>
      <c r="S71" s="7">
        <v>111.2</v>
      </c>
      <c r="T71" s="7">
        <v>-5.6000000000000103</v>
      </c>
      <c r="U71" s="9" t="s">
        <v>23</v>
      </c>
    </row>
    <row r="72" spans="1:21" ht="20" customHeight="1" x14ac:dyDescent="0.2">
      <c r="A72" s="5" t="s">
        <v>97</v>
      </c>
      <c r="B72" s="5">
        <v>16</v>
      </c>
      <c r="C72" s="5" t="s">
        <v>79</v>
      </c>
      <c r="D72" s="6">
        <v>0.44069999999999998</v>
      </c>
      <c r="E72" s="7">
        <v>105.55</v>
      </c>
      <c r="F72" s="7">
        <v>107.7</v>
      </c>
      <c r="G72" s="7">
        <v>-2.15</v>
      </c>
      <c r="H72" s="7">
        <v>52.25</v>
      </c>
      <c r="I72" s="7">
        <v>48.3</v>
      </c>
      <c r="J72" s="7">
        <v>16.95</v>
      </c>
      <c r="K72" s="7">
        <v>18.25</v>
      </c>
      <c r="L72" s="7">
        <v>30.85</v>
      </c>
      <c r="M72" s="7">
        <v>28.8</v>
      </c>
      <c r="N72" s="7">
        <v>39</v>
      </c>
      <c r="O72" s="7">
        <v>35.299999999999997</v>
      </c>
      <c r="P72" s="7">
        <v>31.3</v>
      </c>
      <c r="Q72" s="8">
        <v>0</v>
      </c>
      <c r="R72" s="7">
        <v>111.6</v>
      </c>
      <c r="S72" s="7">
        <v>108.5</v>
      </c>
      <c r="T72" s="7">
        <v>3.0999999999999899</v>
      </c>
      <c r="U72" s="9" t="s">
        <v>52</v>
      </c>
    </row>
    <row r="73" spans="1:21" ht="20" customHeight="1" x14ac:dyDescent="0.2">
      <c r="A73" s="5" t="s">
        <v>98</v>
      </c>
      <c r="B73" s="5">
        <v>16</v>
      </c>
      <c r="C73" s="5" t="s">
        <v>79</v>
      </c>
      <c r="D73" s="6">
        <v>0.45629999999999998</v>
      </c>
      <c r="E73" s="7">
        <v>107.6</v>
      </c>
      <c r="F73" s="7">
        <v>109.2</v>
      </c>
      <c r="G73" s="7">
        <v>-1.6</v>
      </c>
      <c r="H73" s="7">
        <v>53.9</v>
      </c>
      <c r="I73" s="7">
        <v>49.2</v>
      </c>
      <c r="J73" s="7">
        <v>14.1</v>
      </c>
      <c r="K73" s="7">
        <v>15.2</v>
      </c>
      <c r="L73" s="7">
        <v>25.1</v>
      </c>
      <c r="M73" s="7">
        <v>25.6</v>
      </c>
      <c r="N73" s="7">
        <v>33.799999999999997</v>
      </c>
      <c r="O73" s="7">
        <v>35.9</v>
      </c>
      <c r="P73" s="7">
        <v>32.200000000000003</v>
      </c>
      <c r="Q73" s="8">
        <v>0</v>
      </c>
      <c r="R73" s="7">
        <v>117.6</v>
      </c>
      <c r="S73" s="7">
        <v>105.8</v>
      </c>
      <c r="T73" s="7">
        <v>11.8</v>
      </c>
      <c r="U73" s="9" t="s">
        <v>23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65"/>
  <sheetViews>
    <sheetView topLeftCell="AJ55" zoomScaleNormal="100" workbookViewId="0">
      <selection activeCell="W2" sqref="W2"/>
    </sheetView>
  </sheetViews>
  <sheetFormatPr baseColWidth="10" defaultColWidth="41" defaultRowHeight="20" customHeight="1" x14ac:dyDescent="0.2"/>
  <sheetData>
    <row r="1" spans="1:41" ht="20" customHeight="1" x14ac:dyDescent="0.2">
      <c r="A1" s="4" t="s">
        <v>0</v>
      </c>
      <c r="B1" s="4" t="s">
        <v>1</v>
      </c>
      <c r="C1" s="4" t="s">
        <v>2</v>
      </c>
      <c r="D1" s="4" t="s">
        <v>99</v>
      </c>
      <c r="E1" s="4" t="s">
        <v>100</v>
      </c>
      <c r="F1" s="4" t="s">
        <v>3</v>
      </c>
      <c r="G1" s="4" t="s">
        <v>4</v>
      </c>
      <c r="H1" s="4" t="s">
        <v>5</v>
      </c>
      <c r="I1" s="4" t="s">
        <v>101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102</v>
      </c>
      <c r="X1" s="4" t="s">
        <v>103</v>
      </c>
      <c r="Y1" s="4" t="s">
        <v>104</v>
      </c>
      <c r="Z1" s="4" t="s">
        <v>105</v>
      </c>
      <c r="AA1" s="4" t="s">
        <v>106</v>
      </c>
      <c r="AB1" s="4" t="s">
        <v>107</v>
      </c>
      <c r="AC1" s="4" t="s">
        <v>108</v>
      </c>
      <c r="AD1" s="4" t="s">
        <v>109</v>
      </c>
      <c r="AE1" s="4" t="s">
        <v>110</v>
      </c>
      <c r="AF1" s="4" t="s">
        <v>111</v>
      </c>
      <c r="AG1" s="4" t="s">
        <v>112</v>
      </c>
      <c r="AH1" s="4" t="s">
        <v>113</v>
      </c>
      <c r="AI1" s="4" t="s">
        <v>114</v>
      </c>
      <c r="AJ1" s="4" t="s">
        <v>115</v>
      </c>
      <c r="AK1" s="4" t="s">
        <v>116</v>
      </c>
      <c r="AL1" s="4" t="s">
        <v>117</v>
      </c>
      <c r="AM1" s="4" t="s">
        <v>118</v>
      </c>
      <c r="AN1" s="4" t="s">
        <v>119</v>
      </c>
      <c r="AO1" s="4" t="s">
        <v>120</v>
      </c>
    </row>
    <row r="2" spans="1:41" ht="20" customHeight="1" x14ac:dyDescent="0.2">
      <c r="A2" s="5" t="s">
        <v>21</v>
      </c>
      <c r="B2" s="10">
        <f t="array" ref="B2">IFERROR(INDEX('Team Ratings'!$B$2:$B$73,MATCH($A2,'Team Ratings'!$A$2:$A$73,0)),"")</f>
        <v>1</v>
      </c>
      <c r="C2" s="10" t="str">
        <f t="array" ref="C2">IFERROR(INDEX('Team Ratings'!$C$2:$C$73,MATCH($A2,'Team Ratings'!$A$2:$A$73,0)),"")</f>
        <v>East</v>
      </c>
      <c r="D2" s="5" t="s">
        <v>38</v>
      </c>
      <c r="E2" s="10">
        <f t="array" ref="E2">IFERROR(INDEX('Team Ratings'!$B$2:$B$73,MATCH($D2,'Team Ratings'!$A$2:$A$73,0)),"")</f>
        <v>16</v>
      </c>
      <c r="F2" s="6">
        <f t="array" ref="F2">IFERROR(INDEX('Team Ratings'!$D$2:$D$73,MATCH($A2,'Team Ratings'!$A$2:$A$73,0)),"")</f>
        <v>0.98129999999999995</v>
      </c>
      <c r="G2" s="7">
        <f t="array" ref="G2">IFERROR(INDEX('Team Ratings'!$E$2:$E$73,MATCH($A2,'Team Ratings'!$A$2:$A$73,0)),"")</f>
        <v>128.19999999999999</v>
      </c>
      <c r="H2" s="7">
        <f t="array" ref="H2">IFERROR(INDEX('Team Ratings'!$F$2:$F$73,MATCH($A2,'Team Ratings'!$A$2:$A$73,0)),"")</f>
        <v>90.8</v>
      </c>
      <c r="I2" s="7">
        <f t="array" ref="I2">IFERROR(INDEX('Team Ratings'!$G$2:$G$73,MATCH($A2,'Team Ratings'!$A$2:$A$73,0)),"")</f>
        <v>37.4</v>
      </c>
      <c r="J2" s="7">
        <f t="array" ref="J2">IFERROR(INDEX('Team Ratings'!$H$2:$H$73,MATCH($A2,'Team Ratings'!$A$2:$A$73,0)),"")</f>
        <v>56.8</v>
      </c>
      <c r="K2" s="7">
        <f t="array" ref="K2">IFERROR(INDEX('Team Ratings'!$I$2:$I$73,MATCH($A2,'Team Ratings'!$A$2:$A$73,0)),"")</f>
        <v>46.2</v>
      </c>
      <c r="L2" s="7">
        <f t="array" ref="L2">IFERROR(INDEX('Team Ratings'!$J$2:$J$73,MATCH($A2,'Team Ratings'!$A$2:$A$73,0)),"")</f>
        <v>15.7</v>
      </c>
      <c r="M2" s="7">
        <f t="array" ref="M2">IFERROR(INDEX('Team Ratings'!$K$2:$K$73,MATCH($A2,'Team Ratings'!$A$2:$A$73,0)),"")</f>
        <v>18.100000000000001</v>
      </c>
      <c r="N2" s="7">
        <f t="array" ref="N2">IFERROR(INDEX('Team Ratings'!$L$2:$L$73,MATCH($A2,'Team Ratings'!$A$2:$A$73,0)),"")</f>
        <v>38.1</v>
      </c>
      <c r="O2" s="7">
        <f t="array" ref="O2">IFERROR(INDEX('Team Ratings'!$M$2:$M$73,MATCH($A2,'Team Ratings'!$A$2:$A$73,0)),"")</f>
        <v>24.8</v>
      </c>
      <c r="P2" s="7">
        <f t="array" ref="P2">IFERROR(INDEX('Team Ratings'!$N$2:$N$73,MATCH($A2,'Team Ratings'!$A$2:$A$73,0)),"")</f>
        <v>37.799999999999997</v>
      </c>
      <c r="Q2" s="7">
        <f t="array" ref="Q2">IFERROR(INDEX('Team Ratings'!$O$2:$O$73,MATCH($A2,'Team Ratings'!$A$2:$A$73,0)),"")</f>
        <v>35.1</v>
      </c>
      <c r="R2" s="7">
        <f t="array" ref="R2">IFERROR(INDEX('Team Ratings'!$P$2:$P$73,MATCH($A2,'Team Ratings'!$A$2:$A$73,0)),"")</f>
        <v>30.4</v>
      </c>
      <c r="S2" s="11">
        <f t="array" ref="S2">IFERROR(INDEX('Team Ratings'!$Q$2:$Q$73,MATCH($A2,'Team Ratings'!$A$2:$A$73,0)),0)</f>
        <v>-2.5</v>
      </c>
      <c r="T2" s="7">
        <f t="array" ref="T2">IFERROR(INDEX('Team Ratings'!$R$2:$R$73,MATCH($A2,'Team Ratings'!$A$2:$A$73,0)),"")</f>
        <v>132.19999999999999</v>
      </c>
      <c r="U2" s="7">
        <f t="array" ref="U2">IFERROR(INDEX('Team Ratings'!$S$2:$S$73,MATCH($A2,'Team Ratings'!$A$2:$A$73,0)),"")</f>
        <v>94.1</v>
      </c>
      <c r="V2" s="7">
        <f t="shared" ref="V2:V33" si="0">IF(OR(T2="",U2=""),"",T2-U2)</f>
        <v>38.099999999999994</v>
      </c>
      <c r="W2" s="7">
        <f t="shared" ref="W2:W33" si="1">IF(OR(V2="",I2=""),"",V2-I2)</f>
        <v>0.69999999999999574</v>
      </c>
      <c r="X2" s="7">
        <f t="shared" ref="X2:X33" si="2">IF(OR(I2="",V2=""),"",ROUND((I2*0.75)+(V2*0.25),3))</f>
        <v>37.575000000000003</v>
      </c>
      <c r="Y2" s="7">
        <f t="shared" ref="Y2:Y33" si="3">IFERROR(ROUND(Q2-INDEX($R$2:$R$65,MATCH($D2,$A$2:$A$65,0)),3),"")</f>
        <v>2.2999999999999998</v>
      </c>
      <c r="Z2" s="7">
        <f t="shared" ref="Z2:Z33" si="4">IFERROR(ROUND(M2-INDEX($L$2:$L$65,MATCH($D2,$A$2:$A$65,0)),3),"")</f>
        <v>2.1</v>
      </c>
      <c r="AA2" s="7">
        <f t="shared" ref="AA2:AA33" si="5">IFERROR(ROUND(MAX(0,MIN(10,5+((N2-INDEX($O$2:$O$65,MATCH($D2,$A$2:$A$65,0)))+(O2-INDEX($N$2:$N$65,MATCH($D2,$A$2:$A$65,0))))/2)),3),"")</f>
        <v>6</v>
      </c>
      <c r="AB2" s="7">
        <f t="shared" ref="AB2:AB33" si="6">IFERROR(ROUND((1/B2)*4 + (V2/MAX($V$2:$V$65))*4 + (1-(L2/MAX($L$2:$L$65)))*2 + (P2/MAX($P$2:$P$65)) + (O2/MAX($O$2:$O$65)),2),"")</f>
        <v>9.7899999999999991</v>
      </c>
      <c r="AC2" s="12">
        <f t="shared" ref="AC2:AC33" si="7">ROUND((0.35*IFERROR((X2-AVERAGE($X$2:$X$65))/_xlfn.STDEV.P($X$2:$X$65),0)) + (0.2*IFERROR((W2-AVERAGE($W$2:$W$65))/_xlfn.STDEV.P($W$2:$W$65),0)) + (0.15*IFERROR((Y2-AVERAGE($Y$2:$Y$65))/_xlfn.STDEV.P($Y$2:$Y$65),0)) + (0.1*IFERROR((Z2-AVERAGE($Z$2:$Z$65))/_xlfn.STDEV.P($Z$2:$Z$65),0)) + (0.1*IFERROR((AA2-AVERAGE($AA$2:$AA$65))/_xlfn.STDEV.P($AA$2:$AA$65),0)) + (0.05*IFERROR((AB2-AVERAGE($AB$2:$AB$65))/_xlfn.STDEV.P($AB$2:$AB$65),0)) + (0.05*IFERROR((S2-AVERAGE($S$2:$S$65))/IF(_xlfn.STDEV.P($S$2:$S$65)=0,1,_xlfn.STDEV.P($S$2:$S$65)),0)),4)</f>
        <v>0.59970000000000001</v>
      </c>
      <c r="AD2" s="5" t="str">
        <f t="shared" ref="AD2:AD33" si="8">IF(OR($A2="",$D2=""),"",IF($A2&lt;=$D2,$A2&amp;"|"&amp;$D2,$D2&amp;"|"&amp;$A2))</f>
        <v>Duke|Siena</v>
      </c>
      <c r="AE2" s="5" t="s">
        <v>121</v>
      </c>
      <c r="AF2" s="5" t="s">
        <v>122</v>
      </c>
      <c r="AG2" s="5" t="s">
        <v>123</v>
      </c>
      <c r="AH2" s="10" t="b">
        <f t="shared" ref="AH2:AH33" si="9">AND($A2&lt;&gt;"",$D2&lt;&gt;"",ISNUMBER($AC2))</f>
        <v>1</v>
      </c>
      <c r="AI2" s="5" t="str">
        <f t="array" ref="AI2">IFERROR(INDEX(Matchups!$N$2:$N$64,MATCH($AE2,Matchups!$A$2:$A$64,0)),"")</f>
        <v>Duke</v>
      </c>
      <c r="AJ2" s="7">
        <f t="array" ref="AJ2">IFERROR(INDEX(Matchups!$O$2:$O$64,MATCH($AE2,Matchups!$A$2:$A$64,0)),"")</f>
        <v>64.599999999999994</v>
      </c>
      <c r="AK2" s="5" t="str">
        <f t="array" ref="AK2">IFERROR(INDEX(Matchups!$T$2:$T$64,MATCH($AE2,Matchups!$A$2:$A$64,0)),"")</f>
        <v>ΔComposite=1.22; AdjNET Δ=37.2; 3PT Δ=2.3; TO Δ=0.7; REB Δ=2</v>
      </c>
      <c r="AL2" s="5" t="str">
        <f t="array" ref="AL2">IFERROR(INDEX(Matchups!$P$2:$P$64,MATCH($AE2,Matchups!$A$2:$A$64,0)),"")</f>
        <v/>
      </c>
      <c r="AM2" s="5" t="str">
        <f t="shared" ref="AM2:AM33" si="10">IF($AI2="","",IF($A2=$AI2,"Yes","No"))</f>
        <v>Yes</v>
      </c>
      <c r="AN2" s="5" t="str">
        <f t="shared" ref="AN2:AN33" si="11">IF($AM2="Yes",$AF2,"")</f>
        <v>G33</v>
      </c>
      <c r="AO2" s="5" t="str">
        <f t="shared" ref="AO2:AO33" si="12">IF($AM2="Yes",$AG2,"")</f>
        <v>Team 1</v>
      </c>
    </row>
    <row r="3" spans="1:41" ht="20" customHeight="1" x14ac:dyDescent="0.2">
      <c r="A3" s="5" t="s">
        <v>78</v>
      </c>
      <c r="B3" s="10">
        <f t="array" ref="B3">IFERROR(INDEX('Team Ratings'!$B$2:$B$73,MATCH($A3,'Team Ratings'!$A$2:$A$73,0)),"")</f>
        <v>1</v>
      </c>
      <c r="C3" s="10" t="str">
        <f t="array" ref="C3">IFERROR(INDEX('Team Ratings'!$C$2:$C$73,MATCH($A3,'Team Ratings'!$A$2:$A$73,0)),"")</f>
        <v>Midwest</v>
      </c>
      <c r="D3" s="5" t="s">
        <v>96</v>
      </c>
      <c r="E3" s="10">
        <f t="array" ref="E3">IFERROR(INDEX('Team Ratings'!$B$2:$B$73,MATCH($D3,'Team Ratings'!$A$2:$A$73,0)),"")</f>
        <v>16</v>
      </c>
      <c r="F3" s="6">
        <f t="array" ref="F3">IFERROR(INDEX('Team Ratings'!$D$2:$D$73,MATCH($A3,'Team Ratings'!$A$2:$A$73,0)),"")</f>
        <v>0.97989999999999999</v>
      </c>
      <c r="G3" s="7">
        <f t="array" ref="G3">IFERROR(INDEX('Team Ratings'!$E$2:$E$73,MATCH($A3,'Team Ratings'!$A$2:$A$73,0)),"")</f>
        <v>127.7</v>
      </c>
      <c r="H3" s="7">
        <f t="array" ref="H3">IFERROR(INDEX('Team Ratings'!$F$2:$F$73,MATCH($A3,'Team Ratings'!$A$2:$A$73,0)),"")</f>
        <v>91</v>
      </c>
      <c r="I3" s="7">
        <f t="array" ref="I3">IFERROR(INDEX('Team Ratings'!$G$2:$G$73,MATCH($A3,'Team Ratings'!$A$2:$A$73,0)),"")</f>
        <v>36.700000000000003</v>
      </c>
      <c r="J3" s="7">
        <f t="array" ref="J3">IFERROR(INDEX('Team Ratings'!$H$2:$H$73,MATCH($A3,'Team Ratings'!$A$2:$A$73,0)),"")</f>
        <v>58.1</v>
      </c>
      <c r="K3" s="7">
        <f t="array" ref="K3">IFERROR(INDEX('Team Ratings'!$I$2:$I$73,MATCH($A3,'Team Ratings'!$A$2:$A$73,0)),"")</f>
        <v>44.7</v>
      </c>
      <c r="L3" s="7">
        <f t="array" ref="L3">IFERROR(INDEX('Team Ratings'!$J$2:$J$73,MATCH($A3,'Team Ratings'!$A$2:$A$73,0)),"")</f>
        <v>16.7</v>
      </c>
      <c r="M3" s="7">
        <f t="array" ref="M3">IFERROR(INDEX('Team Ratings'!$K$2:$K$73,MATCH($A3,'Team Ratings'!$A$2:$A$73,0)),"")</f>
        <v>15.5</v>
      </c>
      <c r="N3" s="7">
        <f t="array" ref="N3">IFERROR(INDEX('Team Ratings'!$L$2:$L$73,MATCH($A3,'Team Ratings'!$A$2:$A$73,0)),"")</f>
        <v>35.4</v>
      </c>
      <c r="O3" s="7">
        <f t="array" ref="O3">IFERROR(INDEX('Team Ratings'!$M$2:$M$73,MATCH($A3,'Team Ratings'!$A$2:$A$73,0)),"")</f>
        <v>27.7</v>
      </c>
      <c r="P3" s="7">
        <f t="array" ref="P3">IFERROR(INDEX('Team Ratings'!$N$2:$N$73,MATCH($A3,'Team Ratings'!$A$2:$A$73,0)),"")</f>
        <v>37.700000000000003</v>
      </c>
      <c r="Q3" s="7">
        <f t="array" ref="Q3">IFERROR(INDEX('Team Ratings'!$O$2:$O$73,MATCH($A3,'Team Ratings'!$A$2:$A$73,0)),"")</f>
        <v>36</v>
      </c>
      <c r="R3" s="7">
        <f t="array" ref="R3">IFERROR(INDEX('Team Ratings'!$P$2:$P$73,MATCH($A3,'Team Ratings'!$A$2:$A$73,0)),"")</f>
        <v>30.2</v>
      </c>
      <c r="S3" s="11">
        <f t="array" ref="S3">IFERROR(INDEX('Team Ratings'!$Q$2:$Q$73,MATCH($A3,'Team Ratings'!$A$2:$A$73,0)),0)</f>
        <v>-2</v>
      </c>
      <c r="T3" s="7">
        <f t="array" ref="T3">IFERROR(INDEX('Team Ratings'!$R$2:$R$73,MATCH($A3,'Team Ratings'!$A$2:$A$73,0)),"")</f>
        <v>121.5</v>
      </c>
      <c r="U3" s="7">
        <f t="array" ref="U3">IFERROR(INDEX('Team Ratings'!$S$2:$S$73,MATCH($A3,'Team Ratings'!$A$2:$A$73,0)),"")</f>
        <v>93.6</v>
      </c>
      <c r="V3" s="7">
        <f t="shared" si="0"/>
        <v>27.900000000000006</v>
      </c>
      <c r="W3" s="7">
        <f t="shared" si="1"/>
        <v>-8.7999999999999972</v>
      </c>
      <c r="X3" s="7">
        <f t="shared" si="2"/>
        <v>34.5</v>
      </c>
      <c r="Y3" s="7">
        <f t="shared" si="3"/>
        <v>5.6</v>
      </c>
      <c r="Z3" s="7">
        <f t="shared" si="4"/>
        <v>-4.3</v>
      </c>
      <c r="AA3" s="7">
        <f t="shared" si="5"/>
        <v>2.25</v>
      </c>
      <c r="AB3" s="7">
        <f t="shared" si="6"/>
        <v>8.74</v>
      </c>
      <c r="AC3" s="12">
        <f t="shared" si="7"/>
        <v>0.15359999999999999</v>
      </c>
      <c r="AD3" s="5" t="str">
        <f t="shared" si="8"/>
        <v>Howard|Michigan</v>
      </c>
      <c r="AE3" s="5" t="s">
        <v>124</v>
      </c>
      <c r="AF3" s="5" t="s">
        <v>125</v>
      </c>
      <c r="AG3" s="5" t="s">
        <v>123</v>
      </c>
      <c r="AH3" s="10" t="b">
        <f t="shared" si="9"/>
        <v>1</v>
      </c>
      <c r="AI3" s="5" t="str">
        <f t="array" ref="AI3">IFERROR(INDEX(Matchups!$N$2:$N$64,MATCH($AE3,Matchups!$A$2:$A$64,0)),"")</f>
        <v>Michigan</v>
      </c>
      <c r="AJ3" s="7">
        <f t="array" ref="AJ3">IFERROR(INDEX(Matchups!$O$2:$O$64,MATCH($AE3,Matchups!$A$2:$A$64,0)),"")</f>
        <v>58</v>
      </c>
      <c r="AK3" s="5" t="str">
        <f t="array" ref="AK3">IFERROR(INDEX(Matchups!$T$2:$T$64,MATCH($AE3,Matchups!$A$2:$A$64,0)),"")</f>
        <v>ΔComposite=0.67; AdjNET Δ=-37.9; 3PT Δ=-1.1; TO Δ=8.9; REB Δ=5.5</v>
      </c>
      <c r="AL3" s="5" t="str">
        <f t="array" ref="AL3">IFERROR(INDEX(Matchups!$P$2:$P$64,MATCH($AE3,Matchups!$A$2:$A$64,0)),"")</f>
        <v/>
      </c>
      <c r="AM3" s="5" t="str">
        <f t="shared" si="10"/>
        <v>Yes</v>
      </c>
      <c r="AN3" s="5" t="str">
        <f t="shared" si="11"/>
        <v>G45</v>
      </c>
      <c r="AO3" s="5" t="str">
        <f t="shared" si="12"/>
        <v>Team 1</v>
      </c>
    </row>
    <row r="4" spans="1:41" ht="20" customHeight="1" x14ac:dyDescent="0.2">
      <c r="A4" s="5" t="s">
        <v>59</v>
      </c>
      <c r="B4" s="10">
        <f t="array" ref="B4">IFERROR(INDEX('Team Ratings'!$B$2:$B$73,MATCH($A4,'Team Ratings'!$A$2:$A$73,0)),"")</f>
        <v>1</v>
      </c>
      <c r="C4" s="10" t="str">
        <f t="array" ref="C4">IFERROR(INDEX('Team Ratings'!$C$2:$C$73,MATCH($A4,'Team Ratings'!$A$2:$A$73,0)),"")</f>
        <v>South</v>
      </c>
      <c r="D4" s="5" t="s">
        <v>77</v>
      </c>
      <c r="E4" s="10">
        <f t="array" ref="E4">IFERROR(INDEX('Team Ratings'!$B$2:$B$73,MATCH($D4,'Team Ratings'!$A$2:$A$73,0)),"")</f>
        <v>16</v>
      </c>
      <c r="F4" s="6">
        <f t="array" ref="F4">IFERROR(INDEX('Team Ratings'!$D$2:$D$73,MATCH($A4,'Team Ratings'!$A$2:$A$73,0)),"")</f>
        <v>0.97319999999999995</v>
      </c>
      <c r="G4" s="7">
        <f t="array" ref="G4">IFERROR(INDEX('Team Ratings'!$E$2:$E$73,MATCH($A4,'Team Ratings'!$A$2:$A$73,0)),"")</f>
        <v>126.1</v>
      </c>
      <c r="H4" s="7">
        <f t="array" ref="H4">IFERROR(INDEX('Team Ratings'!$F$2:$F$73,MATCH($A4,'Team Ratings'!$A$2:$A$73,0)),"")</f>
        <v>92.3</v>
      </c>
      <c r="I4" s="7">
        <f t="array" ref="I4">IFERROR(INDEX('Team Ratings'!$G$2:$G$73,MATCH($A4,'Team Ratings'!$A$2:$A$73,0)),"")</f>
        <v>33.799999999999997</v>
      </c>
      <c r="J4" s="7">
        <f t="array" ref="J4">IFERROR(INDEX('Team Ratings'!$H$2:$H$73,MATCH($A4,'Team Ratings'!$A$2:$A$73,0)),"")</f>
        <v>53.5</v>
      </c>
      <c r="K4" s="7">
        <f t="array" ref="K4">IFERROR(INDEX('Team Ratings'!$I$2:$I$73,MATCH($A4,'Team Ratings'!$A$2:$A$73,0)),"")</f>
        <v>46.3</v>
      </c>
      <c r="L4" s="7">
        <f t="array" ref="L4">IFERROR(INDEX('Team Ratings'!$J$2:$J$73,MATCH($A4,'Team Ratings'!$A$2:$A$73,0)),"")</f>
        <v>16.5</v>
      </c>
      <c r="M4" s="7">
        <f t="array" ref="M4">IFERROR(INDEX('Team Ratings'!$K$2:$K$73,MATCH($A4,'Team Ratings'!$A$2:$A$73,0)),"")</f>
        <v>15.4</v>
      </c>
      <c r="N4" s="7">
        <f t="array" ref="N4">IFERROR(INDEX('Team Ratings'!$L$2:$L$73,MATCH($A4,'Team Ratings'!$A$2:$A$73,0)),"")</f>
        <v>43.2</v>
      </c>
      <c r="O4" s="7">
        <f t="array" ref="O4">IFERROR(INDEX('Team Ratings'!$M$2:$M$73,MATCH($A4,'Team Ratings'!$A$2:$A$73,0)),"")</f>
        <v>24.8</v>
      </c>
      <c r="P4" s="7">
        <f t="array" ref="P4">IFERROR(INDEX('Team Ratings'!$N$2:$N$73,MATCH($A4,'Team Ratings'!$A$2:$A$73,0)),"")</f>
        <v>39.1</v>
      </c>
      <c r="Q4" s="7">
        <f t="array" ref="Q4">IFERROR(INDEX('Team Ratings'!$O$2:$O$73,MATCH($A4,'Team Ratings'!$A$2:$A$73,0)),"")</f>
        <v>30.8</v>
      </c>
      <c r="R4" s="7">
        <f t="array" ref="R4">IFERROR(INDEX('Team Ratings'!$P$2:$P$73,MATCH($A4,'Team Ratings'!$A$2:$A$73,0)),"")</f>
        <v>32.4</v>
      </c>
      <c r="S4" s="11">
        <f t="array" ref="S4">IFERROR(INDEX('Team Ratings'!$Q$2:$Q$73,MATCH($A4,'Team Ratings'!$A$2:$A$73,0)),0)</f>
        <v>0</v>
      </c>
      <c r="T4" s="7">
        <f t="array" ref="T4">IFERROR(INDEX('Team Ratings'!$R$2:$R$73,MATCH($A4,'Team Ratings'!$A$2:$A$73,0)),"")</f>
        <v>127.1</v>
      </c>
      <c r="U4" s="7">
        <f t="array" ref="U4">IFERROR(INDEX('Team Ratings'!$S$2:$S$73,MATCH($A4,'Team Ratings'!$A$2:$A$73,0)),"")</f>
        <v>98.8</v>
      </c>
      <c r="V4" s="7">
        <f t="shared" si="0"/>
        <v>28.299999999999997</v>
      </c>
      <c r="W4" s="7">
        <f t="shared" si="1"/>
        <v>-5.5</v>
      </c>
      <c r="X4" s="7">
        <f t="shared" si="2"/>
        <v>32.424999999999997</v>
      </c>
      <c r="Y4" s="7">
        <f t="shared" si="3"/>
        <v>-4.2</v>
      </c>
      <c r="Z4" s="7">
        <f t="shared" si="4"/>
        <v>-0.6</v>
      </c>
      <c r="AA4" s="7">
        <f t="shared" si="5"/>
        <v>8.0500000000000007</v>
      </c>
      <c r="AB4" s="7">
        <f t="shared" si="6"/>
        <v>8.75</v>
      </c>
      <c r="AC4" s="12">
        <f t="shared" si="7"/>
        <v>2.9899999999999999E-2</v>
      </c>
      <c r="AD4" s="5" t="str">
        <f t="shared" si="8"/>
        <v>Florida|Prairie View A&amp;M</v>
      </c>
      <c r="AE4" s="5" t="s">
        <v>126</v>
      </c>
      <c r="AF4" s="5" t="s">
        <v>127</v>
      </c>
      <c r="AG4" s="5" t="s">
        <v>123</v>
      </c>
      <c r="AH4" s="10" t="b">
        <f t="shared" si="9"/>
        <v>1</v>
      </c>
      <c r="AI4" s="5" t="str">
        <f t="array" ref="AI4">IFERROR(INDEX(Matchups!$N$2:$N$64,MATCH($AE4,Matchups!$A$2:$A$64,0)),"")</f>
        <v>Florida</v>
      </c>
      <c r="AJ4" s="7">
        <f t="array" ref="AJ4">IFERROR(INDEX(Matchups!$O$2:$O$64,MATCH($AE4,Matchups!$A$2:$A$64,0)),"")</f>
        <v>58.3</v>
      </c>
      <c r="AK4" s="5" t="str">
        <f t="array" ref="AK4">IFERROR(INDEX(Matchups!$T$2:$T$64,MATCH($AE4,Matchups!$A$2:$A$64,0)),"")</f>
        <v>ΔComposite=0.69; AdjNET Δ=-38.7; 3PT Δ=5; TO Δ=3.2; REB Δ=-6.1</v>
      </c>
      <c r="AL4" s="5" t="str">
        <f t="array" ref="AL4">IFERROR(INDEX(Matchups!$P$2:$P$64,MATCH($AE4,Matchups!$A$2:$A$64,0)),"")</f>
        <v/>
      </c>
      <c r="AM4" s="5" t="str">
        <f t="shared" si="10"/>
        <v>Yes</v>
      </c>
      <c r="AN4" s="5" t="str">
        <f t="shared" si="11"/>
        <v>G41</v>
      </c>
      <c r="AO4" s="5" t="str">
        <f t="shared" si="12"/>
        <v>Team 1</v>
      </c>
    </row>
    <row r="5" spans="1:41" ht="20" customHeight="1" x14ac:dyDescent="0.2">
      <c r="A5" s="5" t="s">
        <v>39</v>
      </c>
      <c r="B5" s="10">
        <f t="array" ref="B5">IFERROR(INDEX('Team Ratings'!$B$2:$B$73,MATCH($A5,'Team Ratings'!$A$2:$A$73,0)),"")</f>
        <v>1</v>
      </c>
      <c r="C5" s="10" t="str">
        <f t="array" ref="C5">IFERROR(INDEX('Team Ratings'!$C$2:$C$73,MATCH($A5,'Team Ratings'!$A$2:$A$73,0)),"")</f>
        <v>West</v>
      </c>
      <c r="D5" s="5" t="s">
        <v>58</v>
      </c>
      <c r="E5" s="10">
        <f t="array" ref="E5">IFERROR(INDEX('Team Ratings'!$B$2:$B$73,MATCH($D5,'Team Ratings'!$A$2:$A$73,0)),"")</f>
        <v>16</v>
      </c>
      <c r="F5" s="6">
        <f t="array" ref="F5">IFERROR(INDEX('Team Ratings'!$D$2:$D$73,MATCH($A5,'Team Ratings'!$A$2:$A$73,0)),"")</f>
        <v>0.97760000000000002</v>
      </c>
      <c r="G5" s="7">
        <f t="array" ref="G5">IFERROR(INDEX('Team Ratings'!$E$2:$E$73,MATCH($A5,'Team Ratings'!$A$2:$A$73,0)),"")</f>
        <v>126.9</v>
      </c>
      <c r="H5" s="7">
        <f t="array" ref="H5">IFERROR(INDEX('Team Ratings'!$F$2:$F$73,MATCH($A5,'Team Ratings'!$A$2:$A$73,0)),"")</f>
        <v>91.4</v>
      </c>
      <c r="I5" s="7">
        <f t="array" ref="I5">IFERROR(INDEX('Team Ratings'!$G$2:$G$73,MATCH($A5,'Team Ratings'!$A$2:$A$73,0)),"")</f>
        <v>35.5</v>
      </c>
      <c r="J5" s="7">
        <f t="array" ref="J5">IFERROR(INDEX('Team Ratings'!$H$2:$H$73,MATCH($A5,'Team Ratings'!$A$2:$A$73,0)),"")</f>
        <v>55.1</v>
      </c>
      <c r="K5" s="7">
        <f t="array" ref="K5">IFERROR(INDEX('Team Ratings'!$I$2:$I$73,MATCH($A5,'Team Ratings'!$A$2:$A$73,0)),"")</f>
        <v>45</v>
      </c>
      <c r="L5" s="7">
        <f t="array" ref="L5">IFERROR(INDEX('Team Ratings'!$J$2:$J$73,MATCH($A5,'Team Ratings'!$A$2:$A$73,0)),"")</f>
        <v>15.1</v>
      </c>
      <c r="M5" s="7">
        <f t="array" ref="M5">IFERROR(INDEX('Team Ratings'!$K$2:$K$73,MATCH($A5,'Team Ratings'!$A$2:$A$73,0)),"")</f>
        <v>16.7</v>
      </c>
      <c r="N5" s="7">
        <f t="array" ref="N5">IFERROR(INDEX('Team Ratings'!$L$2:$L$73,MATCH($A5,'Team Ratings'!$A$2:$A$73,0)),"")</f>
        <v>38.1</v>
      </c>
      <c r="O5" s="7">
        <f t="array" ref="O5">IFERROR(INDEX('Team Ratings'!$M$2:$M$73,MATCH($A5,'Team Ratings'!$A$2:$A$73,0)),"")</f>
        <v>26.9</v>
      </c>
      <c r="P5" s="7">
        <f t="array" ref="P5">IFERROR(INDEX('Team Ratings'!$N$2:$N$73,MATCH($A5,'Team Ratings'!$A$2:$A$73,0)),"")</f>
        <v>42.9</v>
      </c>
      <c r="Q5" s="7">
        <f t="array" ref="Q5">IFERROR(INDEX('Team Ratings'!$O$2:$O$73,MATCH($A5,'Team Ratings'!$A$2:$A$73,0)),"")</f>
        <v>36</v>
      </c>
      <c r="R5" s="7">
        <f t="array" ref="R5">IFERROR(INDEX('Team Ratings'!$P$2:$P$73,MATCH($A5,'Team Ratings'!$A$2:$A$73,0)),"")</f>
        <v>31.4</v>
      </c>
      <c r="S5" s="11">
        <f t="array" ref="S5">IFERROR(INDEX('Team Ratings'!$Q$2:$Q$73,MATCH($A5,'Team Ratings'!$A$2:$A$73,0)),0)</f>
        <v>0</v>
      </c>
      <c r="T5" s="7">
        <f t="array" ref="T5">IFERROR(INDEX('Team Ratings'!$R$2:$R$73,MATCH($A5,'Team Ratings'!$A$2:$A$73,0)),"")</f>
        <v>131.9</v>
      </c>
      <c r="U5" s="7">
        <f t="array" ref="U5">IFERROR(INDEX('Team Ratings'!$S$2:$S$73,MATCH($A5,'Team Ratings'!$A$2:$A$73,0)),"")</f>
        <v>92.3</v>
      </c>
      <c r="V5" s="7">
        <f t="shared" si="0"/>
        <v>39.600000000000009</v>
      </c>
      <c r="W5" s="7">
        <f t="shared" si="1"/>
        <v>4.1000000000000085</v>
      </c>
      <c r="X5" s="7">
        <f t="shared" si="2"/>
        <v>36.524999999999999</v>
      </c>
      <c r="Y5" s="7">
        <f t="shared" si="3"/>
        <v>4.0999999999999996</v>
      </c>
      <c r="Z5" s="7">
        <f t="shared" si="4"/>
        <v>-2.2999999999999998</v>
      </c>
      <c r="AA5" s="7">
        <f t="shared" si="5"/>
        <v>4.05</v>
      </c>
      <c r="AB5" s="7">
        <f t="shared" si="6"/>
        <v>10.17</v>
      </c>
      <c r="AC5" s="12">
        <f t="shared" si="7"/>
        <v>0.75090000000000001</v>
      </c>
      <c r="AD5" s="5" t="str">
        <f t="shared" si="8"/>
        <v>Arizona|LIU</v>
      </c>
      <c r="AE5" s="5" t="s">
        <v>128</v>
      </c>
      <c r="AF5" s="5" t="s">
        <v>129</v>
      </c>
      <c r="AG5" s="5" t="s">
        <v>123</v>
      </c>
      <c r="AH5" s="10" t="b">
        <f t="shared" si="9"/>
        <v>1</v>
      </c>
      <c r="AI5" s="5" t="str">
        <f t="array" ref="AI5">IFERROR(INDEX(Matchups!$N$2:$N$64,MATCH($AE5,Matchups!$A$2:$A$64,0)),"")</f>
        <v>Arizona</v>
      </c>
      <c r="AJ5" s="7">
        <f t="array" ref="AJ5">IFERROR(INDEX(Matchups!$O$2:$O$64,MATCH($AE5,Matchups!$A$2:$A$64,0)),"")</f>
        <v>67.400000000000006</v>
      </c>
      <c r="AK5" s="5" t="str">
        <f t="array" ref="AK5">IFERROR(INDEX(Matchups!$T$2:$T$64,MATCH($AE5,Matchups!$A$2:$A$64,0)),"")</f>
        <v>ΔComposite=1.45; AdjNET Δ=43.3; 3PT Δ=-0.6; TO Δ=-6.1; REB Δ=-1.9</v>
      </c>
      <c r="AL5" s="5" t="str">
        <f t="array" ref="AL5">IFERROR(INDEX(Matchups!$P$2:$P$64,MATCH($AE5,Matchups!$A$2:$A$64,0)),"")</f>
        <v/>
      </c>
      <c r="AM5" s="5" t="str">
        <f t="shared" si="10"/>
        <v>Yes</v>
      </c>
      <c r="AN5" s="5" t="str">
        <f t="shared" si="11"/>
        <v>G37</v>
      </c>
      <c r="AO5" s="5" t="str">
        <f t="shared" si="12"/>
        <v>Team 1</v>
      </c>
    </row>
    <row r="6" spans="1:41" ht="20" customHeight="1" x14ac:dyDescent="0.2">
      <c r="A6" s="5" t="s">
        <v>24</v>
      </c>
      <c r="B6" s="10">
        <f t="array" ref="B6">IFERROR(INDEX('Team Ratings'!$B$2:$B$73,MATCH($A6,'Team Ratings'!$A$2:$A$73,0)),"")</f>
        <v>2</v>
      </c>
      <c r="C6" s="10" t="str">
        <f t="array" ref="C6">IFERROR(INDEX('Team Ratings'!$C$2:$C$73,MATCH($A6,'Team Ratings'!$A$2:$A$73,0)),"")</f>
        <v>East</v>
      </c>
      <c r="D6" s="5" t="s">
        <v>37</v>
      </c>
      <c r="E6" s="10">
        <f t="array" ref="E6">IFERROR(INDEX('Team Ratings'!$B$2:$B$73,MATCH($D6,'Team Ratings'!$A$2:$A$73,0)),"")</f>
        <v>15</v>
      </c>
      <c r="F6" s="6">
        <f t="array" ref="F6">IFERROR(INDEX('Team Ratings'!$D$2:$D$73,MATCH($A6,'Team Ratings'!$A$2:$A$73,0)),"")</f>
        <v>0.95169999999999999</v>
      </c>
      <c r="G6" s="7">
        <f t="array" ref="G6">IFERROR(INDEX('Team Ratings'!$E$2:$E$73,MATCH($A6,'Team Ratings'!$A$2:$A$73,0)),"")</f>
        <v>123.1</v>
      </c>
      <c r="H6" s="7">
        <f t="array" ref="H6">IFERROR(INDEX('Team Ratings'!$F$2:$F$73,MATCH($A6,'Team Ratings'!$A$2:$A$73,0)),"")</f>
        <v>95</v>
      </c>
      <c r="I6" s="7">
        <f t="array" ref="I6">IFERROR(INDEX('Team Ratings'!$G$2:$G$73,MATCH($A6,'Team Ratings'!$A$2:$A$73,0)),"")</f>
        <v>28.1</v>
      </c>
      <c r="J6" s="7">
        <f t="array" ref="J6">IFERROR(INDEX('Team Ratings'!$H$2:$H$73,MATCH($A6,'Team Ratings'!$A$2:$A$73,0)),"")</f>
        <v>55.3</v>
      </c>
      <c r="K6" s="7">
        <f t="array" ref="K6">IFERROR(INDEX('Team Ratings'!$I$2:$I$73,MATCH($A6,'Team Ratings'!$A$2:$A$73,0)),"")</f>
        <v>45.7</v>
      </c>
      <c r="L6" s="7">
        <f t="array" ref="L6">IFERROR(INDEX('Team Ratings'!$J$2:$J$73,MATCH($A6,'Team Ratings'!$A$2:$A$73,0)),"")</f>
        <v>16.8</v>
      </c>
      <c r="M6" s="7">
        <f t="array" ref="M6">IFERROR(INDEX('Team Ratings'!$K$2:$K$73,MATCH($A6,'Team Ratings'!$A$2:$A$73,0)),"")</f>
        <v>18</v>
      </c>
      <c r="N6" s="7">
        <f t="array" ref="N6">IFERROR(INDEX('Team Ratings'!$L$2:$L$73,MATCH($A6,'Team Ratings'!$A$2:$A$73,0)),"")</f>
        <v>35.700000000000003</v>
      </c>
      <c r="O6" s="7">
        <f t="array" ref="O6">IFERROR(INDEX('Team Ratings'!$M$2:$M$73,MATCH($A6,'Team Ratings'!$A$2:$A$73,0)),"")</f>
        <v>28.7</v>
      </c>
      <c r="P6" s="7">
        <f t="array" ref="P6">IFERROR(INDEX('Team Ratings'!$N$2:$N$73,MATCH($A6,'Team Ratings'!$A$2:$A$73,0)),"")</f>
        <v>30</v>
      </c>
      <c r="Q6" s="7">
        <f t="array" ref="Q6">IFERROR(INDEX('Team Ratings'!$O$2:$O$73,MATCH($A6,'Team Ratings'!$A$2:$A$73,0)),"")</f>
        <v>35.200000000000003</v>
      </c>
      <c r="R6" s="7">
        <f t="array" ref="R6">IFERROR(INDEX('Team Ratings'!$P$2:$P$73,MATCH($A6,'Team Ratings'!$A$2:$A$73,0)),"")</f>
        <v>30.3</v>
      </c>
      <c r="S6" s="11">
        <f t="array" ref="S6">IFERROR(INDEX('Team Ratings'!$Q$2:$Q$73,MATCH($A6,'Team Ratings'!$A$2:$A$73,0)),0)</f>
        <v>0</v>
      </c>
      <c r="T6" s="7">
        <f t="array" ref="T6">IFERROR(INDEX('Team Ratings'!$R$2:$R$73,MATCH($A6,'Team Ratings'!$A$2:$A$73,0)),"")</f>
        <v>114.9</v>
      </c>
      <c r="U6" s="7">
        <f t="array" ref="U6">IFERROR(INDEX('Team Ratings'!$S$2:$S$73,MATCH($A6,'Team Ratings'!$A$2:$A$73,0)),"")</f>
        <v>95.4</v>
      </c>
      <c r="V6" s="7">
        <f t="shared" si="0"/>
        <v>19.5</v>
      </c>
      <c r="W6" s="7">
        <f t="shared" si="1"/>
        <v>-8.6000000000000014</v>
      </c>
      <c r="X6" s="7">
        <f t="shared" si="2"/>
        <v>25.95</v>
      </c>
      <c r="Y6" s="7">
        <f t="shared" si="3"/>
        <v>2.6</v>
      </c>
      <c r="Z6" s="7">
        <f t="shared" si="4"/>
        <v>0.2</v>
      </c>
      <c r="AA6" s="7">
        <f t="shared" si="5"/>
        <v>7.95</v>
      </c>
      <c r="AB6" s="7">
        <f t="shared" si="6"/>
        <v>5.74</v>
      </c>
      <c r="AC6" s="12">
        <f t="shared" si="7"/>
        <v>0.1263</v>
      </c>
      <c r="AD6" s="5" t="str">
        <f t="shared" si="8"/>
        <v>Connecticut|Furman</v>
      </c>
      <c r="AE6" s="5" t="s">
        <v>130</v>
      </c>
      <c r="AF6" s="5" t="s">
        <v>131</v>
      </c>
      <c r="AG6" s="5" t="s">
        <v>132</v>
      </c>
      <c r="AH6" s="10" t="b">
        <f t="shared" si="9"/>
        <v>1</v>
      </c>
      <c r="AI6" s="5" t="str">
        <f t="array" ref="AI6">IFERROR(INDEX(Matchups!$N$2:$N$64,MATCH($AE6,Matchups!$A$2:$A$64,0)),"")</f>
        <v>Connecticut</v>
      </c>
      <c r="AJ6" s="7">
        <f t="array" ref="AJ6">IFERROR(INDEX(Matchups!$O$2:$O$64,MATCH($AE6,Matchups!$A$2:$A$64,0)),"")</f>
        <v>60.5</v>
      </c>
      <c r="AK6" s="5" t="str">
        <f t="array" ref="AK6">IFERROR(INDEX(Matchups!$T$2:$T$64,MATCH($AE6,Matchups!$A$2:$A$64,0)),"")</f>
        <v>ΔComposite=0.88; AdjNET Δ=-26.6; 3PT Δ=0.4; TO Δ=-3.3; REB Δ=-5.9</v>
      </c>
      <c r="AL6" s="5" t="str">
        <f t="array" ref="AL6">IFERROR(INDEX(Matchups!$P$2:$P$64,MATCH($AE6,Matchups!$A$2:$A$64,0)),"")</f>
        <v/>
      </c>
      <c r="AM6" s="5" t="str">
        <f t="shared" si="10"/>
        <v>Yes</v>
      </c>
      <c r="AN6" s="5" t="str">
        <f t="shared" si="11"/>
        <v>G36</v>
      </c>
      <c r="AO6" s="5" t="str">
        <f t="shared" si="12"/>
        <v>Team 2</v>
      </c>
    </row>
    <row r="7" spans="1:41" ht="20" customHeight="1" x14ac:dyDescent="0.2">
      <c r="A7" s="5" t="s">
        <v>80</v>
      </c>
      <c r="B7" s="10">
        <f t="array" ref="B7">IFERROR(INDEX('Team Ratings'!$B$2:$B$73,MATCH($A7,'Team Ratings'!$A$2:$A$73,0)),"")</f>
        <v>2</v>
      </c>
      <c r="C7" s="10" t="str">
        <f t="array" ref="C7">IFERROR(INDEX('Team Ratings'!$C$2:$C$73,MATCH($A7,'Team Ratings'!$A$2:$A$73,0)),"")</f>
        <v>Midwest</v>
      </c>
      <c r="D7" s="5" t="s">
        <v>95</v>
      </c>
      <c r="E7" s="10">
        <f t="array" ref="E7">IFERROR(INDEX('Team Ratings'!$B$2:$B$73,MATCH($D7,'Team Ratings'!$A$2:$A$73,0)),"")</f>
        <v>15</v>
      </c>
      <c r="F7" s="6">
        <f t="array" ref="F7">IFERROR(INDEX('Team Ratings'!$D$2:$D$73,MATCH($A7,'Team Ratings'!$A$2:$A$73,0)),"")</f>
        <v>0.96550000000000002</v>
      </c>
      <c r="G7" s="7">
        <f t="array" ref="G7">IFERROR(INDEX('Team Ratings'!$E$2:$E$73,MATCH($A7,'Team Ratings'!$A$2:$A$73,0)),"")</f>
        <v>123.8</v>
      </c>
      <c r="H7" s="7">
        <f t="array" ref="H7">IFERROR(INDEX('Team Ratings'!$F$2:$F$73,MATCH($A7,'Team Ratings'!$A$2:$A$73,0)),"")</f>
        <v>92.6</v>
      </c>
      <c r="I7" s="7">
        <f t="array" ref="I7">IFERROR(INDEX('Team Ratings'!$G$2:$G$73,MATCH($A7,'Team Ratings'!$A$2:$A$73,0)),"")</f>
        <v>31.2</v>
      </c>
      <c r="J7" s="7">
        <f t="array" ref="J7">IFERROR(INDEX('Team Ratings'!$H$2:$H$73,MATCH($A7,'Team Ratings'!$A$2:$A$73,0)),"")</f>
        <v>56.5</v>
      </c>
      <c r="K7" s="7">
        <f t="array" ref="K7">IFERROR(INDEX('Team Ratings'!$I$2:$I$73,MATCH($A7,'Team Ratings'!$A$2:$A$73,0)),"")</f>
        <v>49.5</v>
      </c>
      <c r="L7" s="7">
        <f t="array" ref="L7">IFERROR(INDEX('Team Ratings'!$J$2:$J$73,MATCH($A7,'Team Ratings'!$A$2:$A$73,0)),"")</f>
        <v>15.1</v>
      </c>
      <c r="M7" s="7">
        <f t="array" ref="M7">IFERROR(INDEX('Team Ratings'!$K$2:$K$73,MATCH($A7,'Team Ratings'!$A$2:$A$73,0)),"")</f>
        <v>22.4</v>
      </c>
      <c r="N7" s="7">
        <f t="array" ref="N7">IFERROR(INDEX('Team Ratings'!$L$2:$L$73,MATCH($A7,'Team Ratings'!$A$2:$A$73,0)),"")</f>
        <v>35.299999999999997</v>
      </c>
      <c r="O7" s="7">
        <f t="array" ref="O7">IFERROR(INDEX('Team Ratings'!$M$2:$M$73,MATCH($A7,'Team Ratings'!$A$2:$A$73,0)),"")</f>
        <v>28.1</v>
      </c>
      <c r="P7" s="7">
        <f t="array" ref="P7">IFERROR(INDEX('Team Ratings'!$N$2:$N$73,MATCH($A7,'Team Ratings'!$A$2:$A$73,0)),"")</f>
        <v>34</v>
      </c>
      <c r="Q7" s="7">
        <f t="array" ref="Q7">IFERROR(INDEX('Team Ratings'!$O$2:$O$73,MATCH($A7,'Team Ratings'!$A$2:$A$73,0)),"")</f>
        <v>38.700000000000003</v>
      </c>
      <c r="R7" s="7">
        <f t="array" ref="R7">IFERROR(INDEX('Team Ratings'!$P$2:$P$73,MATCH($A7,'Team Ratings'!$A$2:$A$73,0)),"")</f>
        <v>32.1</v>
      </c>
      <c r="S7" s="11">
        <f t="array" ref="S7">IFERROR(INDEX('Team Ratings'!$Q$2:$Q$73,MATCH($A7,'Team Ratings'!$A$2:$A$73,0)),0)</f>
        <v>0</v>
      </c>
      <c r="T7" s="7">
        <f t="array" ref="T7">IFERROR(INDEX('Team Ratings'!$R$2:$R$73,MATCH($A7,'Team Ratings'!$A$2:$A$73,0)),"")</f>
        <v>124.8</v>
      </c>
      <c r="U7" s="7">
        <f t="array" ref="U7">IFERROR(INDEX('Team Ratings'!$S$2:$S$73,MATCH($A7,'Team Ratings'!$A$2:$A$73,0)),"")</f>
        <v>85.5</v>
      </c>
      <c r="V7" s="7">
        <f t="shared" si="0"/>
        <v>39.299999999999997</v>
      </c>
      <c r="W7" s="7">
        <f t="shared" si="1"/>
        <v>8.0999999999999979</v>
      </c>
      <c r="X7" s="7">
        <f t="shared" si="2"/>
        <v>33.225000000000001</v>
      </c>
      <c r="Y7" s="7">
        <f t="shared" si="3"/>
        <v>5.2</v>
      </c>
      <c r="Z7" s="7">
        <f t="shared" si="4"/>
        <v>5.9</v>
      </c>
      <c r="AA7" s="7">
        <f t="shared" si="5"/>
        <v>4.3</v>
      </c>
      <c r="AB7" s="7">
        <f t="shared" si="6"/>
        <v>7.98</v>
      </c>
      <c r="AC7" s="12">
        <f t="shared" si="7"/>
        <v>1.0368999999999999</v>
      </c>
      <c r="AD7" s="5" t="str">
        <f t="shared" si="8"/>
        <v>Iowa St.|Tennessee St.</v>
      </c>
      <c r="AE7" s="5" t="s">
        <v>133</v>
      </c>
      <c r="AF7" s="5" t="s">
        <v>134</v>
      </c>
      <c r="AG7" s="5" t="s">
        <v>132</v>
      </c>
      <c r="AH7" s="10" t="b">
        <f t="shared" si="9"/>
        <v>1</v>
      </c>
      <c r="AI7" s="5" t="str">
        <f t="array" ref="AI7">IFERROR(INDEX(Matchups!$N$2:$N$64,MATCH($AE7,Matchups!$A$2:$A$64,0)),"")</f>
        <v>Iowa St.</v>
      </c>
      <c r="AJ7" s="7">
        <f t="array" ref="AJ7">IFERROR(INDEX(Matchups!$O$2:$O$64,MATCH($AE7,Matchups!$A$2:$A$64,0)),"")</f>
        <v>61.2</v>
      </c>
      <c r="AK7" s="5" t="str">
        <f t="array" ref="AK7">IFERROR(INDEX(Matchups!$T$2:$T$64,MATCH($AE7,Matchups!$A$2:$A$64,0)),"")</f>
        <v>ΔComposite=0.93; AdjNET Δ=31.4; 3PT Δ=3.6; TO Δ=1; REB Δ=-1.4</v>
      </c>
      <c r="AL7" s="5" t="str">
        <f t="array" ref="AL7">IFERROR(INDEX(Matchups!$P$2:$P$64,MATCH($AE7,Matchups!$A$2:$A$64,0)),"")</f>
        <v/>
      </c>
      <c r="AM7" s="5" t="str">
        <f t="shared" si="10"/>
        <v>Yes</v>
      </c>
      <c r="AN7" s="5" t="str">
        <f t="shared" si="11"/>
        <v>G48</v>
      </c>
      <c r="AO7" s="5" t="str">
        <f t="shared" si="12"/>
        <v>Team 2</v>
      </c>
    </row>
    <row r="8" spans="1:41" ht="20" customHeight="1" x14ac:dyDescent="0.2">
      <c r="A8" s="5" t="s">
        <v>61</v>
      </c>
      <c r="B8" s="10">
        <f t="array" ref="B8">IFERROR(INDEX('Team Ratings'!$B$2:$B$73,MATCH($A8,'Team Ratings'!$A$2:$A$73,0)),"")</f>
        <v>2</v>
      </c>
      <c r="C8" s="10" t="str">
        <f t="array" ref="C8">IFERROR(INDEX('Team Ratings'!$C$2:$C$73,MATCH($A8,'Team Ratings'!$A$2:$A$73,0)),"")</f>
        <v>South</v>
      </c>
      <c r="D8" s="5" t="s">
        <v>74</v>
      </c>
      <c r="E8" s="10">
        <f t="array" ref="E8">IFERROR(INDEX('Team Ratings'!$B$2:$B$73,MATCH($D8,'Team Ratings'!$A$2:$A$73,0)),"")</f>
        <v>15</v>
      </c>
      <c r="F8" s="6">
        <f t="array" ref="F8">IFERROR(INDEX('Team Ratings'!$D$2:$D$73,MATCH($A8,'Team Ratings'!$A$2:$A$73,0)),"")</f>
        <v>0.97089999999999999</v>
      </c>
      <c r="G8" s="7">
        <f t="array" ref="G8">IFERROR(INDEX('Team Ratings'!$E$2:$E$73,MATCH($A8,'Team Ratings'!$A$2:$A$73,0)),"")</f>
        <v>125.3</v>
      </c>
      <c r="H8" s="7">
        <f t="array" ref="H8">IFERROR(INDEX('Team Ratings'!$F$2:$F$73,MATCH($A8,'Team Ratings'!$A$2:$A$73,0)),"")</f>
        <v>92.4</v>
      </c>
      <c r="I8" s="7">
        <f t="array" ref="I8">IFERROR(INDEX('Team Ratings'!$G$2:$G$73,MATCH($A8,'Team Ratings'!$A$2:$A$73,0)),"")</f>
        <v>32.9</v>
      </c>
      <c r="J8" s="7">
        <f t="array" ref="J8">IFERROR(INDEX('Team Ratings'!$H$2:$H$73,MATCH($A8,'Team Ratings'!$A$2:$A$73,0)),"")</f>
        <v>52.1</v>
      </c>
      <c r="K8" s="7">
        <f t="array" ref="K8">IFERROR(INDEX('Team Ratings'!$I$2:$I$73,MATCH($A8,'Team Ratings'!$A$2:$A$73,0)),"")</f>
        <v>46.6</v>
      </c>
      <c r="L8" s="7">
        <f t="array" ref="L8">IFERROR(INDEX('Team Ratings'!$J$2:$J$73,MATCH($A8,'Team Ratings'!$A$2:$A$73,0)),"")</f>
        <v>13</v>
      </c>
      <c r="M8" s="7">
        <f t="array" ref="M8">IFERROR(INDEX('Team Ratings'!$K$2:$K$73,MATCH($A8,'Team Ratings'!$A$2:$A$73,0)),"")</f>
        <v>21</v>
      </c>
      <c r="N8" s="7">
        <f t="array" ref="N8">IFERROR(INDEX('Team Ratings'!$L$2:$L$73,MATCH($A8,'Team Ratings'!$A$2:$A$73,0)),"")</f>
        <v>35.9</v>
      </c>
      <c r="O8" s="7">
        <f t="array" ref="O8">IFERROR(INDEX('Team Ratings'!$M$2:$M$73,MATCH($A8,'Team Ratings'!$A$2:$A$73,0)),"")</f>
        <v>30.9</v>
      </c>
      <c r="P8" s="7">
        <f t="array" ref="P8">IFERROR(INDEX('Team Ratings'!$N$2:$N$73,MATCH($A8,'Team Ratings'!$A$2:$A$73,0)),"")</f>
        <v>26.9</v>
      </c>
      <c r="Q8" s="7">
        <f t="array" ref="Q8">IFERROR(INDEX('Team Ratings'!$O$2:$O$73,MATCH($A8,'Team Ratings'!$A$2:$A$73,0)),"")</f>
        <v>34.9</v>
      </c>
      <c r="R8" s="7">
        <f t="array" ref="R8">IFERROR(INDEX('Team Ratings'!$P$2:$P$73,MATCH($A8,'Team Ratings'!$A$2:$A$73,0)),"")</f>
        <v>32.1</v>
      </c>
      <c r="S8" s="11">
        <f t="array" ref="S8">IFERROR(INDEX('Team Ratings'!$Q$2:$Q$73,MATCH($A8,'Team Ratings'!$A$2:$A$73,0)),0)</f>
        <v>-1</v>
      </c>
      <c r="T8" s="7">
        <f t="array" ref="T8">IFERROR(INDEX('Team Ratings'!$R$2:$R$73,MATCH($A8,'Team Ratings'!$A$2:$A$73,0)),"")</f>
        <v>121.8</v>
      </c>
      <c r="U8" s="7">
        <f t="array" ref="U8">IFERROR(INDEX('Team Ratings'!$S$2:$S$73,MATCH($A8,'Team Ratings'!$A$2:$A$73,0)),"")</f>
        <v>92.6</v>
      </c>
      <c r="V8" s="7">
        <f t="shared" si="0"/>
        <v>29.200000000000003</v>
      </c>
      <c r="W8" s="7">
        <f t="shared" si="1"/>
        <v>-3.6999999999999957</v>
      </c>
      <c r="X8" s="7">
        <f t="shared" si="2"/>
        <v>31.975000000000001</v>
      </c>
      <c r="Y8" s="7">
        <f t="shared" si="3"/>
        <v>0.1</v>
      </c>
      <c r="Z8" s="7">
        <f t="shared" si="4"/>
        <v>6</v>
      </c>
      <c r="AA8" s="7">
        <f t="shared" si="5"/>
        <v>10</v>
      </c>
      <c r="AB8" s="7">
        <f t="shared" si="6"/>
        <v>7.1</v>
      </c>
      <c r="AC8" s="12">
        <f t="shared" si="7"/>
        <v>0.4975</v>
      </c>
      <c r="AD8" s="5" t="str">
        <f t="shared" si="8"/>
        <v>Houston|Idaho</v>
      </c>
      <c r="AE8" s="5" t="s">
        <v>135</v>
      </c>
      <c r="AF8" s="5" t="s">
        <v>136</v>
      </c>
      <c r="AG8" s="5" t="s">
        <v>132</v>
      </c>
      <c r="AH8" s="10" t="b">
        <f t="shared" si="9"/>
        <v>1</v>
      </c>
      <c r="AI8" s="5" t="str">
        <f t="array" ref="AI8">IFERROR(INDEX(Matchups!$N$2:$N$64,MATCH($AE8,Matchups!$A$2:$A$64,0)),"")</f>
        <v>Houston</v>
      </c>
      <c r="AJ8" s="7">
        <f t="array" ref="AJ8">IFERROR(INDEX(Matchups!$O$2:$O$64,MATCH($AE8,Matchups!$A$2:$A$64,0)),"")</f>
        <v>60</v>
      </c>
      <c r="AK8" s="5" t="str">
        <f t="array" ref="AK8">IFERROR(INDEX(Matchups!$T$2:$T$64,MATCH($AE8,Matchups!$A$2:$A$64,0)),"")</f>
        <v>ΔComposite=0.83; AdjNET Δ=26.6; 3PT Δ=-2.3; TO Δ=3.8; REB Δ=10</v>
      </c>
      <c r="AL8" s="5" t="str">
        <f t="array" ref="AL8">IFERROR(INDEX(Matchups!$P$2:$P$64,MATCH($AE8,Matchups!$A$2:$A$64,0)),"")</f>
        <v/>
      </c>
      <c r="AM8" s="5" t="str">
        <f t="shared" si="10"/>
        <v>Yes</v>
      </c>
      <c r="AN8" s="5" t="str">
        <f t="shared" si="11"/>
        <v>G44</v>
      </c>
      <c r="AO8" s="5" t="str">
        <f t="shared" si="12"/>
        <v>Team 2</v>
      </c>
    </row>
    <row r="9" spans="1:41" ht="20" customHeight="1" x14ac:dyDescent="0.2">
      <c r="A9" s="5" t="s">
        <v>41</v>
      </c>
      <c r="B9" s="10">
        <f t="array" ref="B9">IFERROR(INDEX('Team Ratings'!$B$2:$B$73,MATCH($A9,'Team Ratings'!$A$2:$A$73,0)),"")</f>
        <v>2</v>
      </c>
      <c r="C9" s="10" t="str">
        <f t="array" ref="C9">IFERROR(INDEX('Team Ratings'!$C$2:$C$73,MATCH($A9,'Team Ratings'!$A$2:$A$73,0)),"")</f>
        <v>West</v>
      </c>
      <c r="D9" s="5" t="s">
        <v>57</v>
      </c>
      <c r="E9" s="10">
        <f t="array" ref="E9">IFERROR(INDEX('Team Ratings'!$B$2:$B$73,MATCH($D9,'Team Ratings'!$A$2:$A$73,0)),"")</f>
        <v>15</v>
      </c>
      <c r="F9" s="6">
        <f t="array" ref="F9">IFERROR(INDEX('Team Ratings'!$D$2:$D$73,MATCH($A9,'Team Ratings'!$A$2:$A$73,0)),"")</f>
        <v>0.96360000000000001</v>
      </c>
      <c r="G9" s="7">
        <f t="array" ref="G9">IFERROR(INDEX('Team Ratings'!$E$2:$E$73,MATCH($A9,'Team Ratings'!$A$2:$A$73,0)),"")</f>
        <v>133.30000000000001</v>
      </c>
      <c r="H9" s="7">
        <f t="array" ref="H9">IFERROR(INDEX('Team Ratings'!$F$2:$F$73,MATCH($A9,'Team Ratings'!$A$2:$A$73,0)),"")</f>
        <v>100.3</v>
      </c>
      <c r="I9" s="7">
        <f t="array" ref="I9">IFERROR(INDEX('Team Ratings'!$G$2:$G$73,MATCH($A9,'Team Ratings'!$A$2:$A$73,0)),"")</f>
        <v>33</v>
      </c>
      <c r="J9" s="7">
        <f t="array" ref="J9">IFERROR(INDEX('Team Ratings'!$H$2:$H$73,MATCH($A9,'Team Ratings'!$A$2:$A$73,0)),"")</f>
        <v>57.6</v>
      </c>
      <c r="K9" s="7">
        <f t="array" ref="K9">IFERROR(INDEX('Team Ratings'!$I$2:$I$73,MATCH($A9,'Team Ratings'!$A$2:$A$73,0)),"")</f>
        <v>52.3</v>
      </c>
      <c r="L9" s="7">
        <f t="array" ref="L9">IFERROR(INDEX('Team Ratings'!$J$2:$J$73,MATCH($A9,'Team Ratings'!$A$2:$A$73,0)),"")</f>
        <v>13.5</v>
      </c>
      <c r="M9" s="7">
        <f t="array" ref="M9">IFERROR(INDEX('Team Ratings'!$K$2:$K$73,MATCH($A9,'Team Ratings'!$A$2:$A$73,0)),"")</f>
        <v>15.6</v>
      </c>
      <c r="N9" s="7">
        <f t="array" ref="N9">IFERROR(INDEX('Team Ratings'!$L$2:$L$73,MATCH($A9,'Team Ratings'!$A$2:$A$73,0)),"")</f>
        <v>36.299999999999997</v>
      </c>
      <c r="O9" s="7">
        <f t="array" ref="O9">IFERROR(INDEX('Team Ratings'!$M$2:$M$73,MATCH($A9,'Team Ratings'!$A$2:$A$73,0)),"")</f>
        <v>26.4</v>
      </c>
      <c r="P9" s="7">
        <f t="array" ref="P9">IFERROR(INDEX('Team Ratings'!$N$2:$N$73,MATCH($A9,'Team Ratings'!$A$2:$A$73,0)),"")</f>
        <v>28.6</v>
      </c>
      <c r="Q9" s="7">
        <f t="array" ref="Q9">IFERROR(INDEX('Team Ratings'!$O$2:$O$73,MATCH($A9,'Team Ratings'!$A$2:$A$73,0)),"")</f>
        <v>37.9</v>
      </c>
      <c r="R9" s="7">
        <f t="array" ref="R9">IFERROR(INDEX('Team Ratings'!$P$2:$P$73,MATCH($A9,'Team Ratings'!$A$2:$A$73,0)),"")</f>
        <v>34.200000000000003</v>
      </c>
      <c r="S9" s="11">
        <f t="array" ref="S9">IFERROR(INDEX('Team Ratings'!$Q$2:$Q$73,MATCH($A9,'Team Ratings'!$A$2:$A$73,0)),0)</f>
        <v>0</v>
      </c>
      <c r="T9" s="7">
        <f t="array" ref="T9">IFERROR(INDEX('Team Ratings'!$R$2:$R$73,MATCH($A9,'Team Ratings'!$A$2:$A$73,0)),"")</f>
        <v>140.5</v>
      </c>
      <c r="U9" s="7">
        <f t="array" ref="U9">IFERROR(INDEX('Team Ratings'!$S$2:$S$73,MATCH($A9,'Team Ratings'!$A$2:$A$73,0)),"")</f>
        <v>105.3</v>
      </c>
      <c r="V9" s="7">
        <f t="shared" si="0"/>
        <v>35.200000000000003</v>
      </c>
      <c r="W9" s="7">
        <f t="shared" si="1"/>
        <v>2.2000000000000028</v>
      </c>
      <c r="X9" s="7">
        <f t="shared" si="2"/>
        <v>33.549999999999997</v>
      </c>
      <c r="Y9" s="7">
        <f t="shared" si="3"/>
        <v>2.1</v>
      </c>
      <c r="Z9" s="7">
        <f t="shared" si="4"/>
        <v>0.8</v>
      </c>
      <c r="AA9" s="7">
        <f t="shared" si="5"/>
        <v>4.6500000000000004</v>
      </c>
      <c r="AB9" s="7">
        <f t="shared" si="6"/>
        <v>7.57</v>
      </c>
      <c r="AC9" s="12">
        <f t="shared" si="7"/>
        <v>0.54210000000000003</v>
      </c>
      <c r="AD9" s="5" t="str">
        <f t="shared" si="8"/>
        <v>Purdue|Queens</v>
      </c>
      <c r="AE9" s="5" t="s">
        <v>137</v>
      </c>
      <c r="AF9" s="5" t="s">
        <v>138</v>
      </c>
      <c r="AG9" s="5" t="s">
        <v>132</v>
      </c>
      <c r="AH9" s="10" t="b">
        <f t="shared" si="9"/>
        <v>1</v>
      </c>
      <c r="AI9" s="5" t="str">
        <f t="array" ref="AI9">IFERROR(INDEX(Matchups!$N$2:$N$64,MATCH($AE9,Matchups!$A$2:$A$64,0)),"")</f>
        <v>Purdue</v>
      </c>
      <c r="AJ9" s="7">
        <f t="array" ref="AJ9">IFERROR(INDEX(Matchups!$O$2:$O$64,MATCH($AE9,Matchups!$A$2:$A$64,0)),"")</f>
        <v>61.2</v>
      </c>
      <c r="AK9" s="5" t="str">
        <f t="array" ref="AK9">IFERROR(INDEX(Matchups!$T$2:$T$64,MATCH($AE9,Matchups!$A$2:$A$64,0)),"")</f>
        <v>ΔComposite=0.94; AdjNET Δ=-33.3; 3PT Δ=-0.4; TO Δ=0.7; REB Δ=0.7</v>
      </c>
      <c r="AL9" s="5" t="str">
        <f t="array" ref="AL9">IFERROR(INDEX(Matchups!$P$2:$P$64,MATCH($AE9,Matchups!$A$2:$A$64,0)),"")</f>
        <v/>
      </c>
      <c r="AM9" s="5" t="str">
        <f t="shared" si="10"/>
        <v>Yes</v>
      </c>
      <c r="AN9" s="5" t="str">
        <f t="shared" si="11"/>
        <v>G40</v>
      </c>
      <c r="AO9" s="5" t="str">
        <f t="shared" si="12"/>
        <v>Team 2</v>
      </c>
    </row>
    <row r="10" spans="1:41" ht="20" customHeight="1" x14ac:dyDescent="0.2">
      <c r="A10" s="5" t="s">
        <v>25</v>
      </c>
      <c r="B10" s="10">
        <f t="array" ref="B10">IFERROR(INDEX('Team Ratings'!$B$2:$B$73,MATCH($A10,'Team Ratings'!$A$2:$A$73,0)),"")</f>
        <v>3</v>
      </c>
      <c r="C10" s="10" t="str">
        <f t="array" ref="C10">IFERROR(INDEX('Team Ratings'!$C$2:$C$73,MATCH($A10,'Team Ratings'!$A$2:$A$73,0)),"")</f>
        <v>East</v>
      </c>
      <c r="D10" s="5" t="s">
        <v>36</v>
      </c>
      <c r="E10" s="10">
        <f t="array" ref="E10">IFERROR(INDEX('Team Ratings'!$B$2:$B$73,MATCH($D10,'Team Ratings'!$A$2:$A$73,0)),"")</f>
        <v>14</v>
      </c>
      <c r="F10" s="6">
        <f t="array" ref="F10">IFERROR(INDEX('Team Ratings'!$D$2:$D$73,MATCH($A10,'Team Ratings'!$A$2:$A$73,0)),"")</f>
        <v>0.94379999999999997</v>
      </c>
      <c r="G10" s="7">
        <f t="array" ref="G10">IFERROR(INDEX('Team Ratings'!$E$2:$E$73,MATCH($A10,'Team Ratings'!$A$2:$A$73,0)),"")</f>
        <v>122.9</v>
      </c>
      <c r="H10" s="7">
        <f t="array" ref="H10">IFERROR(INDEX('Team Ratings'!$F$2:$F$73,MATCH($A10,'Team Ratings'!$A$2:$A$73,0)),"")</f>
        <v>96.2</v>
      </c>
      <c r="I10" s="7">
        <f t="array" ref="I10">IFERROR(INDEX('Team Ratings'!$G$2:$G$73,MATCH($A10,'Team Ratings'!$A$2:$A$73,0)),"")</f>
        <v>26.7</v>
      </c>
      <c r="J10" s="7">
        <f t="array" ref="J10">IFERROR(INDEX('Team Ratings'!$H$2:$H$73,MATCH($A10,'Team Ratings'!$A$2:$A$73,0)),"")</f>
        <v>53.6</v>
      </c>
      <c r="K10" s="7">
        <f t="array" ref="K10">IFERROR(INDEX('Team Ratings'!$I$2:$I$73,MATCH($A10,'Team Ratings'!$A$2:$A$73,0)),"")</f>
        <v>48.6</v>
      </c>
      <c r="L10" s="7">
        <f t="array" ref="L10">IFERROR(INDEX('Team Ratings'!$J$2:$J$73,MATCH($A10,'Team Ratings'!$A$2:$A$73,0)),"")</f>
        <v>17.100000000000001</v>
      </c>
      <c r="M10" s="7">
        <f t="array" ref="M10">IFERROR(INDEX('Team Ratings'!$K$2:$K$73,MATCH($A10,'Team Ratings'!$A$2:$A$73,0)),"")</f>
        <v>14.8</v>
      </c>
      <c r="N10" s="7">
        <f t="array" ref="N10">IFERROR(INDEX('Team Ratings'!$L$2:$L$73,MATCH($A10,'Team Ratings'!$A$2:$A$73,0)),"")</f>
        <v>38.5</v>
      </c>
      <c r="O10" s="7">
        <f t="array" ref="O10">IFERROR(INDEX('Team Ratings'!$M$2:$M$73,MATCH($A10,'Team Ratings'!$A$2:$A$73,0)),"")</f>
        <v>22.6</v>
      </c>
      <c r="P10" s="7">
        <f t="array" ref="P10">IFERROR(INDEX('Team Ratings'!$N$2:$N$73,MATCH($A10,'Team Ratings'!$A$2:$A$73,0)),"")</f>
        <v>36.200000000000003</v>
      </c>
      <c r="Q10" s="7">
        <f t="array" ref="Q10">IFERROR(INDEX('Team Ratings'!$O$2:$O$73,MATCH($A10,'Team Ratings'!$A$2:$A$73,0)),"")</f>
        <v>35.9</v>
      </c>
      <c r="R10" s="7">
        <f t="array" ref="R10">IFERROR(INDEX('Team Ratings'!$P$2:$P$73,MATCH($A10,'Team Ratings'!$A$2:$A$73,0)),"")</f>
        <v>32.9</v>
      </c>
      <c r="S10" s="11">
        <f t="array" ref="S10">IFERROR(INDEX('Team Ratings'!$Q$2:$Q$73,MATCH($A10,'Team Ratings'!$A$2:$A$73,0)),0)</f>
        <v>0</v>
      </c>
      <c r="T10" s="7">
        <f t="array" ref="T10">IFERROR(INDEX('Team Ratings'!$R$2:$R$73,MATCH($A10,'Team Ratings'!$A$2:$A$73,0)),"")</f>
        <v>135</v>
      </c>
      <c r="U10" s="7">
        <f t="array" ref="U10">IFERROR(INDEX('Team Ratings'!$S$2:$S$73,MATCH($A10,'Team Ratings'!$A$2:$A$73,0)),"")</f>
        <v>108.6</v>
      </c>
      <c r="V10" s="7">
        <f t="shared" si="0"/>
        <v>26.400000000000006</v>
      </c>
      <c r="W10" s="7">
        <f t="shared" si="1"/>
        <v>-0.29999999999999361</v>
      </c>
      <c r="X10" s="7">
        <f t="shared" si="2"/>
        <v>26.625</v>
      </c>
      <c r="Y10" s="7">
        <f t="shared" si="3"/>
        <v>2.4</v>
      </c>
      <c r="Z10" s="7">
        <f t="shared" si="4"/>
        <v>-0.8</v>
      </c>
      <c r="AA10" s="7">
        <f t="shared" si="5"/>
        <v>5.9</v>
      </c>
      <c r="AB10" s="7">
        <f t="shared" si="6"/>
        <v>5.7</v>
      </c>
      <c r="AC10" s="12">
        <f t="shared" si="7"/>
        <v>0.22389999999999999</v>
      </c>
      <c r="AD10" s="5" t="str">
        <f t="shared" si="8"/>
        <v>Michigan St.|North Dakota St.</v>
      </c>
      <c r="AE10" s="5" t="s">
        <v>139</v>
      </c>
      <c r="AF10" s="5" t="s">
        <v>140</v>
      </c>
      <c r="AG10" s="5" t="s">
        <v>132</v>
      </c>
      <c r="AH10" s="10" t="b">
        <f t="shared" si="9"/>
        <v>1</v>
      </c>
      <c r="AI10" s="5" t="str">
        <f t="array" ref="AI10">IFERROR(INDEX(Matchups!$N$2:$N$64,MATCH($AE10,Matchups!$A$2:$A$64,0)),"")</f>
        <v>Michigan St.</v>
      </c>
      <c r="AJ10" s="7">
        <f t="array" ref="AJ10">IFERROR(INDEX(Matchups!$O$2:$O$64,MATCH($AE10,Matchups!$A$2:$A$64,0)),"")</f>
        <v>55.2</v>
      </c>
      <c r="AK10" s="5" t="str">
        <f t="array" ref="AK10">IFERROR(INDEX(Matchups!$T$2:$T$64,MATCH($AE10,Matchups!$A$2:$A$64,0)),"")</f>
        <v>ΔComposite=0.43; AdjNET Δ=-19.3; 3PT Δ=0.4; TO Δ=2.4; REB Δ=-1.8</v>
      </c>
      <c r="AL10" s="5" t="str">
        <f t="array" ref="AL10">IFERROR(INDEX(Matchups!$P$2:$P$64,MATCH($AE10,Matchups!$A$2:$A$64,0)),"")</f>
        <v/>
      </c>
      <c r="AM10" s="5" t="str">
        <f t="shared" si="10"/>
        <v>Yes</v>
      </c>
      <c r="AN10" s="5" t="str">
        <f t="shared" si="11"/>
        <v>G35</v>
      </c>
      <c r="AO10" s="5" t="str">
        <f t="shared" si="12"/>
        <v>Team 2</v>
      </c>
    </row>
    <row r="11" spans="1:41" ht="20" customHeight="1" x14ac:dyDescent="0.2">
      <c r="A11" s="5" t="s">
        <v>81</v>
      </c>
      <c r="B11" s="10">
        <f t="array" ref="B11">IFERROR(INDEX('Team Ratings'!$B$2:$B$73,MATCH($A11,'Team Ratings'!$A$2:$A$73,0)),"")</f>
        <v>3</v>
      </c>
      <c r="C11" s="10" t="str">
        <f t="array" ref="C11">IFERROR(INDEX('Team Ratings'!$C$2:$C$73,MATCH($A11,'Team Ratings'!$A$2:$A$73,0)),"")</f>
        <v>Midwest</v>
      </c>
      <c r="D11" s="5" t="s">
        <v>94</v>
      </c>
      <c r="E11" s="10">
        <f t="array" ref="E11">IFERROR(INDEX('Team Ratings'!$B$2:$B$73,MATCH($D11,'Team Ratings'!$A$2:$A$73,0)),"")</f>
        <v>14</v>
      </c>
      <c r="F11" s="6">
        <f t="array" ref="F11">IFERROR(INDEX('Team Ratings'!$D$2:$D$73,MATCH($A11,'Team Ratings'!$A$2:$A$73,0)),"")</f>
        <v>0.94269999999999998</v>
      </c>
      <c r="G11" s="7">
        <f t="array" ref="G11">IFERROR(INDEX('Team Ratings'!$E$2:$E$73,MATCH($A11,'Team Ratings'!$A$2:$A$73,0)),"")</f>
        <v>122.3</v>
      </c>
      <c r="H11" s="7">
        <f t="array" ref="H11">IFERROR(INDEX('Team Ratings'!$F$2:$F$73,MATCH($A11,'Team Ratings'!$A$2:$A$73,0)),"")</f>
        <v>95.8</v>
      </c>
      <c r="I11" s="7">
        <f t="array" ref="I11">IFERROR(INDEX('Team Ratings'!$G$2:$G$73,MATCH($A11,'Team Ratings'!$A$2:$A$73,0)),"")</f>
        <v>26.5</v>
      </c>
      <c r="J11" s="7">
        <f t="array" ref="J11">IFERROR(INDEX('Team Ratings'!$H$2:$H$73,MATCH($A11,'Team Ratings'!$A$2:$A$73,0)),"")</f>
        <v>54.6</v>
      </c>
      <c r="K11" s="7">
        <f t="array" ref="K11">IFERROR(INDEX('Team Ratings'!$I$2:$I$73,MATCH($A11,'Team Ratings'!$A$2:$A$73,0)),"")</f>
        <v>45.3</v>
      </c>
      <c r="L11" s="7">
        <f t="array" ref="L11">IFERROR(INDEX('Team Ratings'!$J$2:$J$73,MATCH($A11,'Team Ratings'!$A$2:$A$73,0)),"")</f>
        <v>16</v>
      </c>
      <c r="M11" s="7">
        <f t="array" ref="M11">IFERROR(INDEX('Team Ratings'!$K$2:$K$73,MATCH($A11,'Team Ratings'!$A$2:$A$73,0)),"")</f>
        <v>15.6</v>
      </c>
      <c r="N11" s="7">
        <f t="array" ref="N11">IFERROR(INDEX('Team Ratings'!$L$2:$L$73,MATCH($A11,'Team Ratings'!$A$2:$A$73,0)),"")</f>
        <v>37.9</v>
      </c>
      <c r="O11" s="7">
        <f t="array" ref="O11">IFERROR(INDEX('Team Ratings'!$M$2:$M$73,MATCH($A11,'Team Ratings'!$A$2:$A$73,0)),"")</f>
        <v>29.2</v>
      </c>
      <c r="P11" s="7">
        <f t="array" ref="P11">IFERROR(INDEX('Team Ratings'!$N$2:$N$73,MATCH($A11,'Team Ratings'!$A$2:$A$73,0)),"")</f>
        <v>33</v>
      </c>
      <c r="Q11" s="7">
        <f t="array" ref="Q11">IFERROR(INDEX('Team Ratings'!$O$2:$O$73,MATCH($A11,'Team Ratings'!$A$2:$A$73,0)),"")</f>
        <v>35.9</v>
      </c>
      <c r="R11" s="7">
        <f t="array" ref="R11">IFERROR(INDEX('Team Ratings'!$P$2:$P$73,MATCH($A11,'Team Ratings'!$A$2:$A$73,0)),"")</f>
        <v>30.9</v>
      </c>
      <c r="S11" s="11">
        <f t="array" ref="S11">IFERROR(INDEX('Team Ratings'!$Q$2:$Q$73,MATCH($A11,'Team Ratings'!$A$2:$A$73,0)),0)</f>
        <v>0</v>
      </c>
      <c r="T11" s="7">
        <f t="array" ref="T11">IFERROR(INDEX('Team Ratings'!$R$2:$R$73,MATCH($A11,'Team Ratings'!$A$2:$A$73,0)),"")</f>
        <v>126.7</v>
      </c>
      <c r="U11" s="7">
        <f t="array" ref="U11">IFERROR(INDEX('Team Ratings'!$S$2:$S$73,MATCH($A11,'Team Ratings'!$A$2:$A$73,0)),"")</f>
        <v>96</v>
      </c>
      <c r="V11" s="7">
        <f t="shared" si="0"/>
        <v>30.700000000000003</v>
      </c>
      <c r="W11" s="7">
        <f t="shared" si="1"/>
        <v>4.2000000000000028</v>
      </c>
      <c r="X11" s="7">
        <f t="shared" si="2"/>
        <v>27.55</v>
      </c>
      <c r="Y11" s="7">
        <f t="shared" si="3"/>
        <v>2.2999999999999998</v>
      </c>
      <c r="Z11" s="7">
        <f t="shared" si="4"/>
        <v>-0.7</v>
      </c>
      <c r="AA11" s="7">
        <f t="shared" si="5"/>
        <v>7.35</v>
      </c>
      <c r="AB11" s="7">
        <f t="shared" si="6"/>
        <v>6.37</v>
      </c>
      <c r="AC11" s="12">
        <f t="shared" si="7"/>
        <v>0.42409999999999998</v>
      </c>
      <c r="AD11" s="5" t="str">
        <f t="shared" si="8"/>
        <v>Virginia|Wright St.</v>
      </c>
      <c r="AE11" s="5" t="s">
        <v>141</v>
      </c>
      <c r="AF11" s="5" t="s">
        <v>142</v>
      </c>
      <c r="AG11" s="5" t="s">
        <v>132</v>
      </c>
      <c r="AH11" s="10" t="b">
        <f t="shared" si="9"/>
        <v>1</v>
      </c>
      <c r="AI11" s="5" t="str">
        <f t="array" ref="AI11">IFERROR(INDEX(Matchups!$N$2:$N$64,MATCH($AE11,Matchups!$A$2:$A$64,0)),"")</f>
        <v>Virginia</v>
      </c>
      <c r="AJ11" s="7">
        <f t="array" ref="AJ11">IFERROR(INDEX(Matchups!$O$2:$O$64,MATCH($AE11,Matchups!$A$2:$A$64,0)),"")</f>
        <v>59.5</v>
      </c>
      <c r="AK11" s="5" t="str">
        <f t="array" ref="AK11">IFERROR(INDEX(Matchups!$T$2:$T$64,MATCH($AE11,Matchups!$A$2:$A$64,0)),"")</f>
        <v>ΔComposite=0.79; AdjNET Δ=23.4; 3PT Δ=-2.9; TO Δ=-1.2; REB Δ=4.7</v>
      </c>
      <c r="AL11" s="5" t="str">
        <f t="array" ref="AL11">IFERROR(INDEX(Matchups!$P$2:$P$64,MATCH($AE11,Matchups!$A$2:$A$64,0)),"")</f>
        <v/>
      </c>
      <c r="AM11" s="5" t="str">
        <f t="shared" si="10"/>
        <v>Yes</v>
      </c>
      <c r="AN11" s="5" t="str">
        <f t="shared" si="11"/>
        <v>G47</v>
      </c>
      <c r="AO11" s="5" t="str">
        <f t="shared" si="12"/>
        <v>Team 2</v>
      </c>
    </row>
    <row r="12" spans="1:41" ht="20" customHeight="1" x14ac:dyDescent="0.2">
      <c r="A12" s="5" t="s">
        <v>62</v>
      </c>
      <c r="B12" s="10">
        <f t="array" ref="B12">IFERROR(INDEX('Team Ratings'!$B$2:$B$73,MATCH($A12,'Team Ratings'!$A$2:$A$73,0)),"")</f>
        <v>3</v>
      </c>
      <c r="C12" s="10" t="str">
        <f t="array" ref="C12">IFERROR(INDEX('Team Ratings'!$C$2:$C$73,MATCH($A12,'Team Ratings'!$A$2:$A$73,0)),"")</f>
        <v>South</v>
      </c>
      <c r="D12" s="5" t="s">
        <v>73</v>
      </c>
      <c r="E12" s="10">
        <f t="array" ref="E12">IFERROR(INDEX('Team Ratings'!$B$2:$B$73,MATCH($D12,'Team Ratings'!$A$2:$A$73,0)),"")</f>
        <v>14</v>
      </c>
      <c r="F12" s="6">
        <f t="array" ref="F12">IFERROR(INDEX('Team Ratings'!$D$2:$D$73,MATCH($A12,'Team Ratings'!$A$2:$A$73,0)),"")</f>
        <v>0.96760000000000002</v>
      </c>
      <c r="G12" s="7">
        <f t="array" ref="G12">IFERROR(INDEX('Team Ratings'!$E$2:$E$73,MATCH($A12,'Team Ratings'!$A$2:$A$73,0)),"")</f>
        <v>131.9</v>
      </c>
      <c r="H12" s="7">
        <f t="array" ref="H12">IFERROR(INDEX('Team Ratings'!$F$2:$F$73,MATCH($A12,'Team Ratings'!$A$2:$A$73,0)),"")</f>
        <v>98.2</v>
      </c>
      <c r="I12" s="7">
        <f t="array" ref="I12">IFERROR(INDEX('Team Ratings'!$G$2:$G$73,MATCH($A12,'Team Ratings'!$A$2:$A$73,0)),"")</f>
        <v>33.700000000000003</v>
      </c>
      <c r="J12" s="7">
        <f t="array" ref="J12">IFERROR(INDEX('Team Ratings'!$H$2:$H$73,MATCH($A12,'Team Ratings'!$A$2:$A$73,0)),"")</f>
        <v>55.1</v>
      </c>
      <c r="K12" s="7">
        <f t="array" ref="K12">IFERROR(INDEX('Team Ratings'!$I$2:$I$73,MATCH($A12,'Team Ratings'!$A$2:$A$73,0)),"")</f>
        <v>47.6</v>
      </c>
      <c r="L12" s="7">
        <f t="array" ref="L12">IFERROR(INDEX('Team Ratings'!$J$2:$J$73,MATCH($A12,'Team Ratings'!$A$2:$A$73,0)),"")</f>
        <v>13.2</v>
      </c>
      <c r="M12" s="7">
        <f t="array" ref="M12">IFERROR(INDEX('Team Ratings'!$K$2:$K$73,MATCH($A12,'Team Ratings'!$A$2:$A$73,0)),"")</f>
        <v>11.6</v>
      </c>
      <c r="N12" s="7">
        <f t="array" ref="N12">IFERROR(INDEX('Team Ratings'!$L$2:$L$73,MATCH($A12,'Team Ratings'!$A$2:$A$73,0)),"")</f>
        <v>38.700000000000003</v>
      </c>
      <c r="O12" s="7">
        <f t="array" ref="O12">IFERROR(INDEX('Team Ratings'!$M$2:$M$73,MATCH($A12,'Team Ratings'!$A$2:$A$73,0)),"")</f>
        <v>27</v>
      </c>
      <c r="P12" s="7">
        <f t="array" ref="P12">IFERROR(INDEX('Team Ratings'!$N$2:$N$73,MATCH($A12,'Team Ratings'!$A$2:$A$73,0)),"")</f>
        <v>32.9</v>
      </c>
      <c r="Q12" s="7">
        <f t="array" ref="Q12">IFERROR(INDEX('Team Ratings'!$O$2:$O$73,MATCH($A12,'Team Ratings'!$A$2:$A$73,0)),"")</f>
        <v>34.700000000000003</v>
      </c>
      <c r="R12" s="7">
        <f t="array" ref="R12">IFERROR(INDEX('Team Ratings'!$P$2:$P$73,MATCH($A12,'Team Ratings'!$A$2:$A$73,0)),"")</f>
        <v>31.4</v>
      </c>
      <c r="S12" s="11">
        <f t="array" ref="S12">IFERROR(INDEX('Team Ratings'!$Q$2:$Q$73,MATCH($A12,'Team Ratings'!$A$2:$A$73,0)),0)</f>
        <v>0</v>
      </c>
      <c r="T12" s="7">
        <f t="array" ref="T12">IFERROR(INDEX('Team Ratings'!$R$2:$R$73,MATCH($A12,'Team Ratings'!$A$2:$A$73,0)),"")</f>
        <v>126.1</v>
      </c>
      <c r="U12" s="7">
        <f t="array" ref="U12">IFERROR(INDEX('Team Ratings'!$S$2:$S$73,MATCH($A12,'Team Ratings'!$A$2:$A$73,0)),"")</f>
        <v>98.9</v>
      </c>
      <c r="V12" s="7">
        <f t="shared" si="0"/>
        <v>27.199999999999989</v>
      </c>
      <c r="W12" s="7">
        <f t="shared" si="1"/>
        <v>-6.5000000000000142</v>
      </c>
      <c r="X12" s="7">
        <f t="shared" si="2"/>
        <v>32.075000000000003</v>
      </c>
      <c r="Y12" s="7">
        <f t="shared" si="3"/>
        <v>3</v>
      </c>
      <c r="Z12" s="7">
        <f t="shared" si="4"/>
        <v>-3.8</v>
      </c>
      <c r="AA12" s="7">
        <f t="shared" si="5"/>
        <v>7.45</v>
      </c>
      <c r="AB12" s="7">
        <f t="shared" si="6"/>
        <v>6.23</v>
      </c>
      <c r="AC12" s="12">
        <f t="shared" si="7"/>
        <v>0.255</v>
      </c>
      <c r="AD12" s="5" t="str">
        <f t="shared" si="8"/>
        <v>Illinois|Penn</v>
      </c>
      <c r="AE12" s="5" t="s">
        <v>143</v>
      </c>
      <c r="AF12" s="5" t="s">
        <v>144</v>
      </c>
      <c r="AG12" s="5" t="s">
        <v>132</v>
      </c>
      <c r="AH12" s="10" t="b">
        <f t="shared" si="9"/>
        <v>1</v>
      </c>
      <c r="AI12" s="5" t="str">
        <f t="array" ref="AI12">IFERROR(INDEX(Matchups!$N$2:$N$64,MATCH($AE12,Matchups!$A$2:$A$64,0)),"")</f>
        <v>Illinois</v>
      </c>
      <c r="AJ12" s="7">
        <f t="array" ref="AJ12">IFERROR(INDEX(Matchups!$O$2:$O$64,MATCH($AE12,Matchups!$A$2:$A$64,0)),"")</f>
        <v>52.2</v>
      </c>
      <c r="AK12" s="5" t="str">
        <f t="array" ref="AK12">IFERROR(INDEX(Matchups!$T$2:$T$64,MATCH($AE12,Matchups!$A$2:$A$64,0)),"")</f>
        <v>ΔComposite=0.19; AdjNET Δ=28.3; 3PT Δ=-4.3; TO Δ=-8.4; REB Δ=4.9</v>
      </c>
      <c r="AL12" s="5" t="str">
        <f t="array" ref="AL12">IFERROR(INDEX(Matchups!$P$2:$P$64,MATCH($AE12,Matchups!$A$2:$A$64,0)),"")</f>
        <v/>
      </c>
      <c r="AM12" s="5" t="str">
        <f t="shared" si="10"/>
        <v>Yes</v>
      </c>
      <c r="AN12" s="5" t="str">
        <f t="shared" si="11"/>
        <v>G43</v>
      </c>
      <c r="AO12" s="5" t="str">
        <f t="shared" si="12"/>
        <v>Team 2</v>
      </c>
    </row>
    <row r="13" spans="1:41" ht="20" customHeight="1" x14ac:dyDescent="0.2">
      <c r="A13" s="5" t="s">
        <v>42</v>
      </c>
      <c r="B13" s="10">
        <f t="array" ref="B13">IFERROR(INDEX('Team Ratings'!$B$2:$B$73,MATCH($A13,'Team Ratings'!$A$2:$A$73,0)),"")</f>
        <v>3</v>
      </c>
      <c r="C13" s="10" t="str">
        <f t="array" ref="C13">IFERROR(INDEX('Team Ratings'!$C$2:$C$73,MATCH($A13,'Team Ratings'!$A$2:$A$73,0)),"")</f>
        <v>West</v>
      </c>
      <c r="D13" s="5" t="s">
        <v>56</v>
      </c>
      <c r="E13" s="10">
        <f t="array" ref="E13">IFERROR(INDEX('Team Ratings'!$B$2:$B$73,MATCH($D13,'Team Ratings'!$A$2:$A$73,0)),"")</f>
        <v>14</v>
      </c>
      <c r="F13" s="6">
        <f t="array" ref="F13">IFERROR(INDEX('Team Ratings'!$D$2:$D$73,MATCH($A13,'Team Ratings'!$A$2:$A$73,0)),"")</f>
        <v>0.9446</v>
      </c>
      <c r="G13" s="7">
        <f t="array" ref="G13">IFERROR(INDEX('Team Ratings'!$E$2:$E$73,MATCH($A13,'Team Ratings'!$A$2:$A$73,0)),"")</f>
        <v>120.3</v>
      </c>
      <c r="H13" s="7">
        <f t="array" ref="H13">IFERROR(INDEX('Team Ratings'!$F$2:$F$73,MATCH($A13,'Team Ratings'!$A$2:$A$73,0)),"")</f>
        <v>94</v>
      </c>
      <c r="I13" s="7">
        <f t="array" ref="I13">IFERROR(INDEX('Team Ratings'!$G$2:$G$73,MATCH($A13,'Team Ratings'!$A$2:$A$73,0)),"")</f>
        <v>26.3</v>
      </c>
      <c r="J13" s="7">
        <f t="array" ref="J13">IFERROR(INDEX('Team Ratings'!$H$2:$H$73,MATCH($A13,'Team Ratings'!$A$2:$A$73,0)),"")</f>
        <v>56.3</v>
      </c>
      <c r="K13" s="7">
        <f t="array" ref="K13">IFERROR(INDEX('Team Ratings'!$I$2:$I$73,MATCH($A13,'Team Ratings'!$A$2:$A$73,0)),"")</f>
        <v>46.2</v>
      </c>
      <c r="L13" s="7">
        <f t="array" ref="L13">IFERROR(INDEX('Team Ratings'!$J$2:$J$73,MATCH($A13,'Team Ratings'!$A$2:$A$73,0)),"")</f>
        <v>13.7</v>
      </c>
      <c r="M13" s="7">
        <f t="array" ref="M13">IFERROR(INDEX('Team Ratings'!$K$2:$K$73,MATCH($A13,'Team Ratings'!$A$2:$A$73,0)),"")</f>
        <v>20.5</v>
      </c>
      <c r="N13" s="7">
        <f t="array" ref="N13">IFERROR(INDEX('Team Ratings'!$L$2:$L$73,MATCH($A13,'Team Ratings'!$A$2:$A$73,0)),"")</f>
        <v>34.799999999999997</v>
      </c>
      <c r="O13" s="7">
        <f t="array" ref="O13">IFERROR(INDEX('Team Ratings'!$M$2:$M$73,MATCH($A13,'Team Ratings'!$A$2:$A$73,0)),"")</f>
        <v>25.9</v>
      </c>
      <c r="P13" s="7">
        <f t="array" ref="P13">IFERROR(INDEX('Team Ratings'!$N$2:$N$73,MATCH($A13,'Team Ratings'!$A$2:$A$73,0)),"")</f>
        <v>31.1</v>
      </c>
      <c r="Q13" s="7">
        <f t="array" ref="Q13">IFERROR(INDEX('Team Ratings'!$O$2:$O$73,MATCH($A13,'Team Ratings'!$A$2:$A$73,0)),"")</f>
        <v>34</v>
      </c>
      <c r="R13" s="7">
        <f t="array" ref="R13">IFERROR(INDEX('Team Ratings'!$P$2:$P$73,MATCH($A13,'Team Ratings'!$A$2:$A$73,0)),"")</f>
        <v>30.8</v>
      </c>
      <c r="S13" s="11">
        <f t="array" ref="S13">IFERROR(INDEX('Team Ratings'!$Q$2:$Q$73,MATCH($A13,'Team Ratings'!$A$2:$A$73,0)),0)</f>
        <v>0</v>
      </c>
      <c r="T13" s="7">
        <f t="array" ref="T13">IFERROR(INDEX('Team Ratings'!$R$2:$R$73,MATCH($A13,'Team Ratings'!$A$2:$A$73,0)),"")</f>
        <v>119.2</v>
      </c>
      <c r="U13" s="7">
        <f t="array" ref="U13">IFERROR(INDEX('Team Ratings'!$S$2:$S$73,MATCH($A13,'Team Ratings'!$A$2:$A$73,0)),"")</f>
        <v>93.9</v>
      </c>
      <c r="V13" s="7">
        <f t="shared" si="0"/>
        <v>25.299999999999997</v>
      </c>
      <c r="W13" s="7">
        <f t="shared" si="1"/>
        <v>-1.0000000000000036</v>
      </c>
      <c r="X13" s="7">
        <f t="shared" si="2"/>
        <v>26.05</v>
      </c>
      <c r="Y13" s="7">
        <f t="shared" si="3"/>
        <v>0.1</v>
      </c>
      <c r="Z13" s="7">
        <f t="shared" si="4"/>
        <v>3.8</v>
      </c>
      <c r="AA13" s="7">
        <f t="shared" si="5"/>
        <v>1.95</v>
      </c>
      <c r="AB13" s="7">
        <f t="shared" si="6"/>
        <v>5.92</v>
      </c>
      <c r="AC13" s="12">
        <f t="shared" si="7"/>
        <v>6.7000000000000004E-2</v>
      </c>
      <c r="AD13" s="5" t="str">
        <f t="shared" si="8"/>
        <v>Gonzaga|Kennesaw St.</v>
      </c>
      <c r="AE13" s="5" t="s">
        <v>145</v>
      </c>
      <c r="AF13" s="5" t="s">
        <v>146</v>
      </c>
      <c r="AG13" s="5" t="s">
        <v>132</v>
      </c>
      <c r="AH13" s="10" t="b">
        <f t="shared" si="9"/>
        <v>1</v>
      </c>
      <c r="AI13" s="5" t="str">
        <f t="array" ref="AI13">IFERROR(INDEX(Matchups!$N$2:$N$64,MATCH($AE13,Matchups!$A$2:$A$64,0)),"")</f>
        <v>Gonzaga</v>
      </c>
      <c r="AJ13" s="7">
        <f t="array" ref="AJ13">IFERROR(INDEX(Matchups!$O$2:$O$64,MATCH($AE13,Matchups!$A$2:$A$64,0)),"")</f>
        <v>55.5</v>
      </c>
      <c r="AK13" s="5" t="str">
        <f t="array" ref="AK13">IFERROR(INDEX(Matchups!$T$2:$T$64,MATCH($AE13,Matchups!$A$2:$A$64,0)),"")</f>
        <v>ΔComposite=0.46; AdjNET Δ=-24.5; 3PT Δ=2.8; TO Δ=-1.4; REB Δ=6.1</v>
      </c>
      <c r="AL13" s="5" t="str">
        <f t="array" ref="AL13">IFERROR(INDEX(Matchups!$P$2:$P$64,MATCH($AE13,Matchups!$A$2:$A$64,0)),"")</f>
        <v/>
      </c>
      <c r="AM13" s="5" t="str">
        <f t="shared" si="10"/>
        <v>Yes</v>
      </c>
      <c r="AN13" s="5" t="str">
        <f t="shared" si="11"/>
        <v>G39</v>
      </c>
      <c r="AO13" s="5" t="str">
        <f t="shared" si="12"/>
        <v>Team 2</v>
      </c>
    </row>
    <row r="14" spans="1:41" ht="20" customHeight="1" x14ac:dyDescent="0.2">
      <c r="A14" s="5" t="s">
        <v>26</v>
      </c>
      <c r="B14" s="10">
        <f t="array" ref="B14">IFERROR(INDEX('Team Ratings'!$B$2:$B$73,MATCH($A14,'Team Ratings'!$A$2:$A$73,0)),"")</f>
        <v>4</v>
      </c>
      <c r="C14" s="10" t="str">
        <f t="array" ref="C14">IFERROR(INDEX('Team Ratings'!$C$2:$C$73,MATCH($A14,'Team Ratings'!$A$2:$A$73,0)),"")</f>
        <v>East</v>
      </c>
      <c r="D14" s="5" t="s">
        <v>35</v>
      </c>
      <c r="E14" s="10">
        <f t="array" ref="E14">IFERROR(INDEX('Team Ratings'!$B$2:$B$73,MATCH($D14,'Team Ratings'!$A$2:$A$73,0)),"")</f>
        <v>13</v>
      </c>
      <c r="F14" s="6">
        <f t="array" ref="F14">IFERROR(INDEX('Team Ratings'!$D$2:$D$73,MATCH($A14,'Team Ratings'!$A$2:$A$73,0)),"")</f>
        <v>0.92779999999999996</v>
      </c>
      <c r="G14" s="7">
        <f t="array" ref="G14">IFERROR(INDEX('Team Ratings'!$E$2:$E$73,MATCH($A14,'Team Ratings'!$A$2:$A$73,0)),"")</f>
        <v>117.8</v>
      </c>
      <c r="H14" s="7">
        <f t="array" ref="H14">IFERROR(INDEX('Team Ratings'!$F$2:$F$73,MATCH($A14,'Team Ratings'!$A$2:$A$73,0)),"")</f>
        <v>94.4</v>
      </c>
      <c r="I14" s="7">
        <f t="array" ref="I14">IFERROR(INDEX('Team Ratings'!$G$2:$G$73,MATCH($A14,'Team Ratings'!$A$2:$A$73,0)),"")</f>
        <v>23.4</v>
      </c>
      <c r="J14" s="7">
        <f t="array" ref="J14">IFERROR(INDEX('Team Ratings'!$H$2:$H$73,MATCH($A14,'Team Ratings'!$A$2:$A$73,0)),"")</f>
        <v>51.6</v>
      </c>
      <c r="K14" s="7">
        <f t="array" ref="K14">IFERROR(INDEX('Team Ratings'!$I$2:$I$73,MATCH($A14,'Team Ratings'!$A$2:$A$73,0)),"")</f>
        <v>45.2</v>
      </c>
      <c r="L14" s="7">
        <f t="array" ref="L14">IFERROR(INDEX('Team Ratings'!$J$2:$J$73,MATCH($A14,'Team Ratings'!$A$2:$A$73,0)),"")</f>
        <v>15.5</v>
      </c>
      <c r="M14" s="7">
        <f t="array" ref="M14">IFERROR(INDEX('Team Ratings'!$K$2:$K$73,MATCH($A14,'Team Ratings'!$A$2:$A$73,0)),"")</f>
        <v>14</v>
      </c>
      <c r="N14" s="7">
        <f t="array" ref="N14">IFERROR(INDEX('Team Ratings'!$L$2:$L$73,MATCH($A14,'Team Ratings'!$A$2:$A$73,0)),"")</f>
        <v>29.5</v>
      </c>
      <c r="O14" s="7">
        <f t="array" ref="O14">IFERROR(INDEX('Team Ratings'!$M$2:$M$73,MATCH($A14,'Team Ratings'!$A$2:$A$73,0)),"")</f>
        <v>30.1</v>
      </c>
      <c r="P14" s="7">
        <f t="array" ref="P14">IFERROR(INDEX('Team Ratings'!$N$2:$N$73,MATCH($A14,'Team Ratings'!$A$2:$A$73,0)),"")</f>
        <v>32.6</v>
      </c>
      <c r="Q14" s="7">
        <f t="array" ref="Q14">IFERROR(INDEX('Team Ratings'!$O$2:$O$73,MATCH($A14,'Team Ratings'!$A$2:$A$73,0)),"")</f>
        <v>35</v>
      </c>
      <c r="R14" s="7">
        <f t="array" ref="R14">IFERROR(INDEX('Team Ratings'!$P$2:$P$73,MATCH($A14,'Team Ratings'!$A$2:$A$73,0)),"")</f>
        <v>30.7</v>
      </c>
      <c r="S14" s="11">
        <f t="array" ref="S14">IFERROR(INDEX('Team Ratings'!$Q$2:$Q$73,MATCH($A14,'Team Ratings'!$A$2:$A$73,0)),0)</f>
        <v>0</v>
      </c>
      <c r="T14" s="7">
        <f t="array" ref="T14">IFERROR(INDEX('Team Ratings'!$R$2:$R$73,MATCH($A14,'Team Ratings'!$A$2:$A$73,0)),"")</f>
        <v>107.4</v>
      </c>
      <c r="U14" s="7">
        <f t="array" ref="U14">IFERROR(INDEX('Team Ratings'!$S$2:$S$73,MATCH($A14,'Team Ratings'!$A$2:$A$73,0)),"")</f>
        <v>98.7</v>
      </c>
      <c r="V14" s="7">
        <f t="shared" si="0"/>
        <v>8.7000000000000028</v>
      </c>
      <c r="W14" s="7">
        <f t="shared" si="1"/>
        <v>-14.699999999999996</v>
      </c>
      <c r="X14" s="7">
        <f t="shared" si="2"/>
        <v>19.725000000000001</v>
      </c>
      <c r="Y14" s="7">
        <f t="shared" si="3"/>
        <v>5.3</v>
      </c>
      <c r="Z14" s="7">
        <f t="shared" si="4"/>
        <v>-4.0999999999999996</v>
      </c>
      <c r="AA14" s="7">
        <f t="shared" si="5"/>
        <v>2.2999999999999998</v>
      </c>
      <c r="AB14" s="7">
        <f t="shared" si="6"/>
        <v>3.88</v>
      </c>
      <c r="AC14" s="12">
        <f t="shared" si="7"/>
        <v>-0.4335</v>
      </c>
      <c r="AD14" s="5" t="str">
        <f t="shared" si="8"/>
        <v>Cal Baptist|Kansas</v>
      </c>
      <c r="AE14" s="5" t="s">
        <v>147</v>
      </c>
      <c r="AF14" s="5" t="s">
        <v>148</v>
      </c>
      <c r="AG14" s="5" t="s">
        <v>132</v>
      </c>
      <c r="AH14" s="10" t="b">
        <f t="shared" si="9"/>
        <v>1</v>
      </c>
      <c r="AI14" s="5" t="str">
        <f t="array" ref="AI14">IFERROR(INDEX(Matchups!$N$2:$N$64,MATCH($AE14,Matchups!$A$2:$A$64,0)),"")</f>
        <v>Cal Baptist</v>
      </c>
      <c r="AJ14" s="7">
        <f t="array" ref="AJ14">IFERROR(INDEX(Matchups!$O$2:$O$64,MATCH($AE14,Matchups!$A$2:$A$64,0)),"")</f>
        <v>56.7</v>
      </c>
      <c r="AK14" s="5" t="str">
        <f t="array" ref="AK14">IFERROR(INDEX(Matchups!$T$2:$T$64,MATCH($AE14,Matchups!$A$2:$A$64,0)),"")</f>
        <v>ΔComposite=0.56; AdjNET Δ=-9.6; 3PT Δ=-2.3; TO Δ=5.7; REB Δ=5.4</v>
      </c>
      <c r="AL14" s="5" t="str">
        <f t="array" ref="AL14">IFERROR(INDEX(Matchups!$P$2:$P$64,MATCH($AE14,Matchups!$A$2:$A$64,0)),"")</f>
        <v>UPSET</v>
      </c>
      <c r="AM14" s="5" t="str">
        <f t="shared" si="10"/>
        <v>No</v>
      </c>
      <c r="AN14" s="5" t="str">
        <f t="shared" si="11"/>
        <v/>
      </c>
      <c r="AO14" s="5" t="str">
        <f t="shared" si="12"/>
        <v/>
      </c>
    </row>
    <row r="15" spans="1:41" ht="20" customHeight="1" x14ac:dyDescent="0.2">
      <c r="A15" s="5" t="s">
        <v>82</v>
      </c>
      <c r="B15" s="10">
        <f t="array" ref="B15">IFERROR(INDEX('Team Ratings'!$B$2:$B$73,MATCH($A15,'Team Ratings'!$A$2:$A$73,0)),"")</f>
        <v>4</v>
      </c>
      <c r="C15" s="10" t="str">
        <f t="array" ref="C15">IFERROR(INDEX('Team Ratings'!$C$2:$C$73,MATCH($A15,'Team Ratings'!$A$2:$A$73,0)),"")</f>
        <v>Midwest</v>
      </c>
      <c r="D15" s="5" t="s">
        <v>93</v>
      </c>
      <c r="E15" s="10">
        <f t="array" ref="E15">IFERROR(INDEX('Team Ratings'!$B$2:$B$73,MATCH($D15,'Team Ratings'!$A$2:$A$73,0)),"")</f>
        <v>13</v>
      </c>
      <c r="F15" s="6">
        <f t="array" ref="F15">IFERROR(INDEX('Team Ratings'!$D$2:$D$73,MATCH($A15,'Team Ratings'!$A$2:$A$73,0)),"")</f>
        <v>0.93440000000000001</v>
      </c>
      <c r="G15" s="7">
        <f t="array" ref="G15">IFERROR(INDEX('Team Ratings'!$E$2:$E$73,MATCH($A15,'Team Ratings'!$A$2:$A$73,0)),"")</f>
        <v>129.5</v>
      </c>
      <c r="H15" s="7">
        <f t="array" ref="H15">IFERROR(INDEX('Team Ratings'!$F$2:$F$73,MATCH($A15,'Team Ratings'!$A$2:$A$73,0)),"")</f>
        <v>102.8</v>
      </c>
      <c r="I15" s="7">
        <f t="array" ref="I15">IFERROR(INDEX('Team Ratings'!$G$2:$G$73,MATCH($A15,'Team Ratings'!$A$2:$A$73,0)),"")</f>
        <v>26.7</v>
      </c>
      <c r="J15" s="7">
        <f t="array" ref="J15">IFERROR(INDEX('Team Ratings'!$H$2:$H$73,MATCH($A15,'Team Ratings'!$A$2:$A$73,0)),"")</f>
        <v>55.4</v>
      </c>
      <c r="K15" s="7">
        <f t="array" ref="K15">IFERROR(INDEX('Team Ratings'!$I$2:$I$73,MATCH($A15,'Team Ratings'!$A$2:$A$73,0)),"")</f>
        <v>49.2</v>
      </c>
      <c r="L15" s="7">
        <f t="array" ref="L15">IFERROR(INDEX('Team Ratings'!$J$2:$J$73,MATCH($A15,'Team Ratings'!$A$2:$A$73,0)),"")</f>
        <v>13</v>
      </c>
      <c r="M15" s="7">
        <f t="array" ref="M15">IFERROR(INDEX('Team Ratings'!$K$2:$K$73,MATCH($A15,'Team Ratings'!$A$2:$A$73,0)),"")</f>
        <v>12.6</v>
      </c>
      <c r="N15" s="7">
        <f t="array" ref="N15">IFERROR(INDEX('Team Ratings'!$L$2:$L$73,MATCH($A15,'Team Ratings'!$A$2:$A$73,0)),"")</f>
        <v>31.8</v>
      </c>
      <c r="O15" s="7">
        <f t="array" ref="O15">IFERROR(INDEX('Team Ratings'!$M$2:$M$73,MATCH($A15,'Team Ratings'!$A$2:$A$73,0)),"")</f>
        <v>32.799999999999997</v>
      </c>
      <c r="P15" s="7">
        <f t="array" ref="P15">IFERROR(INDEX('Team Ratings'!$N$2:$N$73,MATCH($A15,'Team Ratings'!$A$2:$A$73,0)),"")</f>
        <v>37.200000000000003</v>
      </c>
      <c r="Q15" s="7">
        <f t="array" ref="Q15">IFERROR(INDEX('Team Ratings'!$O$2:$O$73,MATCH($A15,'Team Ratings'!$A$2:$A$73,0)),"")</f>
        <v>35.799999999999997</v>
      </c>
      <c r="R15" s="7">
        <f t="array" ref="R15">IFERROR(INDEX('Team Ratings'!$P$2:$P$73,MATCH($A15,'Team Ratings'!$A$2:$A$73,0)),"")</f>
        <v>33.5</v>
      </c>
      <c r="S15" s="11">
        <f t="array" ref="S15">IFERROR(INDEX('Team Ratings'!$Q$2:$Q$73,MATCH($A15,'Team Ratings'!$A$2:$A$73,0)),0)</f>
        <v>0</v>
      </c>
      <c r="T15" s="7">
        <f t="array" ref="T15">IFERROR(INDEX('Team Ratings'!$R$2:$R$73,MATCH($A15,'Team Ratings'!$A$2:$A$73,0)),"")</f>
        <v>125.9</v>
      </c>
      <c r="U15" s="7">
        <f t="array" ref="U15">IFERROR(INDEX('Team Ratings'!$S$2:$S$73,MATCH($A15,'Team Ratings'!$A$2:$A$73,0)),"")</f>
        <v>107.2</v>
      </c>
      <c r="V15" s="7">
        <f t="shared" si="0"/>
        <v>18.700000000000003</v>
      </c>
      <c r="W15" s="7">
        <f t="shared" si="1"/>
        <v>-7.9999999999999964</v>
      </c>
      <c r="X15" s="7">
        <f t="shared" si="2"/>
        <v>24.7</v>
      </c>
      <c r="Y15" s="7">
        <f t="shared" si="3"/>
        <v>3.5</v>
      </c>
      <c r="Z15" s="7">
        <f t="shared" si="4"/>
        <v>-3.5</v>
      </c>
      <c r="AA15" s="7">
        <f t="shared" si="5"/>
        <v>4.5999999999999996</v>
      </c>
      <c r="AB15" s="7">
        <f t="shared" si="6"/>
        <v>5.32</v>
      </c>
      <c r="AC15" s="12">
        <f t="shared" si="7"/>
        <v>-9.4500000000000001E-2</v>
      </c>
      <c r="AD15" s="5" t="str">
        <f t="shared" si="8"/>
        <v>Alabama|Hofstra</v>
      </c>
      <c r="AE15" s="5" t="s">
        <v>149</v>
      </c>
      <c r="AF15" s="5" t="s">
        <v>150</v>
      </c>
      <c r="AG15" s="5" t="s">
        <v>132</v>
      </c>
      <c r="AH15" s="10" t="b">
        <f t="shared" si="9"/>
        <v>1</v>
      </c>
      <c r="AI15" s="5" t="str">
        <f t="array" ref="AI15">IFERROR(INDEX(Matchups!$N$2:$N$64,MATCH($AE15,Matchups!$A$2:$A$64,0)),"")</f>
        <v>Alabama</v>
      </c>
      <c r="AJ15" s="7">
        <f t="array" ref="AJ15">IFERROR(INDEX(Matchups!$O$2:$O$64,MATCH($AE15,Matchups!$A$2:$A$64,0)),"")</f>
        <v>50.5</v>
      </c>
      <c r="AK15" s="5" t="str">
        <f t="array" ref="AK15">IFERROR(INDEX(Matchups!$T$2:$T$64,MATCH($AE15,Matchups!$A$2:$A$64,0)),"")</f>
        <v>ΔComposite=0.04; AdjNET Δ=15.3; 3PT Δ=0.2; TO Δ=-5.5; REB Δ=-0.8</v>
      </c>
      <c r="AL15" s="5" t="str">
        <f t="array" ref="AL15">IFERROR(INDEX(Matchups!$P$2:$P$64,MATCH($AE15,Matchups!$A$2:$A$64,0)),"")</f>
        <v/>
      </c>
      <c r="AM15" s="5" t="str">
        <f t="shared" si="10"/>
        <v>Yes</v>
      </c>
      <c r="AN15" s="5" t="str">
        <f t="shared" si="11"/>
        <v>G46</v>
      </c>
      <c r="AO15" s="5" t="str">
        <f t="shared" si="12"/>
        <v>Team 2</v>
      </c>
    </row>
    <row r="16" spans="1:41" ht="20" customHeight="1" x14ac:dyDescent="0.2">
      <c r="A16" s="5" t="s">
        <v>63</v>
      </c>
      <c r="B16" s="10">
        <f t="array" ref="B16">IFERROR(INDEX('Team Ratings'!$B$2:$B$73,MATCH($A16,'Team Ratings'!$A$2:$A$73,0)),"")</f>
        <v>4</v>
      </c>
      <c r="C16" s="10" t="str">
        <f t="array" ref="C16">IFERROR(INDEX('Team Ratings'!$C$2:$C$73,MATCH($A16,'Team Ratings'!$A$2:$A$73,0)),"")</f>
        <v>South</v>
      </c>
      <c r="D16" s="5" t="s">
        <v>72</v>
      </c>
      <c r="E16" s="10">
        <f t="array" ref="E16">IFERROR(INDEX('Team Ratings'!$B$2:$B$73,MATCH($D16,'Team Ratings'!$A$2:$A$73,0)),"")</f>
        <v>13</v>
      </c>
      <c r="F16" s="6">
        <f t="array" ref="F16">IFERROR(INDEX('Team Ratings'!$D$2:$D$73,MATCH($A16,'Team Ratings'!$A$2:$A$73,0)),"")</f>
        <v>0.93079999999999996</v>
      </c>
      <c r="G16" s="7">
        <f t="array" ref="G16">IFERROR(INDEX('Team Ratings'!$E$2:$E$73,MATCH($A16,'Team Ratings'!$A$2:$A$73,0)),"")</f>
        <v>117.2</v>
      </c>
      <c r="H16" s="7">
        <f t="array" ref="H16">IFERROR(INDEX('Team Ratings'!$F$2:$F$73,MATCH($A16,'Team Ratings'!$A$2:$A$73,0)),"")</f>
        <v>93.5</v>
      </c>
      <c r="I16" s="7">
        <f t="array" ref="I16">IFERROR(INDEX('Team Ratings'!$G$2:$G$73,MATCH($A16,'Team Ratings'!$A$2:$A$73,0)),"")</f>
        <v>23.7</v>
      </c>
      <c r="J16" s="7">
        <f t="array" ref="J16">IFERROR(INDEX('Team Ratings'!$H$2:$H$73,MATCH($A16,'Team Ratings'!$A$2:$A$73,0)),"")</f>
        <v>55.4</v>
      </c>
      <c r="K16" s="7">
        <f t="array" ref="K16">IFERROR(INDEX('Team Ratings'!$I$2:$I$73,MATCH($A16,'Team Ratings'!$A$2:$A$73,0)),"")</f>
        <v>47.8</v>
      </c>
      <c r="L16" s="7">
        <f t="array" ref="L16">IFERROR(INDEX('Team Ratings'!$J$2:$J$73,MATCH($A16,'Team Ratings'!$A$2:$A$73,0)),"")</f>
        <v>14.4</v>
      </c>
      <c r="M16" s="7">
        <f t="array" ref="M16">IFERROR(INDEX('Team Ratings'!$K$2:$K$73,MATCH($A16,'Team Ratings'!$A$2:$A$73,0)),"")</f>
        <v>19.2</v>
      </c>
      <c r="N16" s="7">
        <f t="array" ref="N16">IFERROR(INDEX('Team Ratings'!$L$2:$L$73,MATCH($A16,'Team Ratings'!$A$2:$A$73,0)),"")</f>
        <v>26.3</v>
      </c>
      <c r="O16" s="7">
        <f t="array" ref="O16">IFERROR(INDEX('Team Ratings'!$M$2:$M$73,MATCH($A16,'Team Ratings'!$A$2:$A$73,0)),"")</f>
        <v>27.7</v>
      </c>
      <c r="P16" s="7">
        <f t="array" ref="P16">IFERROR(INDEX('Team Ratings'!$N$2:$N$73,MATCH($A16,'Team Ratings'!$A$2:$A$73,0)),"")</f>
        <v>27.2</v>
      </c>
      <c r="Q16" s="7">
        <f t="array" ref="Q16">IFERROR(INDEX('Team Ratings'!$O$2:$O$73,MATCH($A16,'Team Ratings'!$A$2:$A$73,0)),"")</f>
        <v>35.299999999999997</v>
      </c>
      <c r="R16" s="7">
        <f t="array" ref="R16">IFERROR(INDEX('Team Ratings'!$P$2:$P$73,MATCH($A16,'Team Ratings'!$A$2:$A$73,0)),"")</f>
        <v>29.9</v>
      </c>
      <c r="S16" s="11">
        <f t="array" ref="S16">IFERROR(INDEX('Team Ratings'!$Q$2:$Q$73,MATCH($A16,'Team Ratings'!$A$2:$A$73,0)),0)</f>
        <v>0</v>
      </c>
      <c r="T16" s="7">
        <f t="array" ref="T16">IFERROR(INDEX('Team Ratings'!$R$2:$R$73,MATCH($A16,'Team Ratings'!$A$2:$A$73,0)),"")</f>
        <v>106.2</v>
      </c>
      <c r="U16" s="7">
        <f t="array" ref="U16">IFERROR(INDEX('Team Ratings'!$S$2:$S$73,MATCH($A16,'Team Ratings'!$A$2:$A$73,0)),"")</f>
        <v>97.9</v>
      </c>
      <c r="V16" s="7">
        <f t="shared" si="0"/>
        <v>8.2999999999999972</v>
      </c>
      <c r="W16" s="7">
        <f t="shared" si="1"/>
        <v>-15.400000000000002</v>
      </c>
      <c r="X16" s="7">
        <f t="shared" si="2"/>
        <v>19.850000000000001</v>
      </c>
      <c r="Y16" s="7">
        <f t="shared" si="3"/>
        <v>4</v>
      </c>
      <c r="Z16" s="7">
        <f t="shared" si="4"/>
        <v>2.2000000000000002</v>
      </c>
      <c r="AA16" s="7">
        <f t="shared" si="5"/>
        <v>0</v>
      </c>
      <c r="AB16" s="7">
        <f t="shared" si="6"/>
        <v>3.76</v>
      </c>
      <c r="AC16" s="12">
        <f t="shared" si="7"/>
        <v>-0.39939999999999998</v>
      </c>
      <c r="AD16" s="5" t="str">
        <f t="shared" si="8"/>
        <v>Nebraska|Troy</v>
      </c>
      <c r="AE16" s="5" t="s">
        <v>151</v>
      </c>
      <c r="AF16" s="5" t="s">
        <v>152</v>
      </c>
      <c r="AG16" s="5" t="s">
        <v>132</v>
      </c>
      <c r="AH16" s="10" t="b">
        <f t="shared" si="9"/>
        <v>1</v>
      </c>
      <c r="AI16" s="5" t="str">
        <f t="array" ref="AI16">IFERROR(INDEX(Matchups!$N$2:$N$64,MATCH($AE16,Matchups!$A$2:$A$64,0)),"")</f>
        <v>Troy</v>
      </c>
      <c r="AJ16" s="7">
        <f t="array" ref="AJ16">IFERROR(INDEX(Matchups!$O$2:$O$64,MATCH($AE16,Matchups!$A$2:$A$64,0)),"")</f>
        <v>56.2</v>
      </c>
      <c r="AK16" s="5" t="str">
        <f t="array" ref="AK16">IFERROR(INDEX(Matchups!$T$2:$T$64,MATCH($AE16,Matchups!$A$2:$A$64,0)),"")</f>
        <v>ΔComposite=0.52; AdjNET Δ=14.9; 3PT Δ=0.7; TO Δ=-0.3; REB Δ=-10</v>
      </c>
      <c r="AL16" s="5" t="str">
        <f t="array" ref="AL16">IFERROR(INDEX(Matchups!$P$2:$P$64,MATCH($AE16,Matchups!$A$2:$A$64,0)),"")</f>
        <v>UPSET</v>
      </c>
      <c r="AM16" s="5" t="str">
        <f t="shared" si="10"/>
        <v>No</v>
      </c>
      <c r="AN16" s="5" t="str">
        <f t="shared" si="11"/>
        <v/>
      </c>
      <c r="AO16" s="5" t="str">
        <f t="shared" si="12"/>
        <v/>
      </c>
    </row>
    <row r="17" spans="1:41" ht="20" customHeight="1" x14ac:dyDescent="0.2">
      <c r="A17" s="5" t="s">
        <v>43</v>
      </c>
      <c r="B17" s="10">
        <f t="array" ref="B17">IFERROR(INDEX('Team Ratings'!$B$2:$B$73,MATCH($A17,'Team Ratings'!$A$2:$A$73,0)),"")</f>
        <v>4</v>
      </c>
      <c r="C17" s="10" t="str">
        <f t="array" ref="C17">IFERROR(INDEX('Team Ratings'!$C$2:$C$73,MATCH($A17,'Team Ratings'!$A$2:$A$73,0)),"")</f>
        <v>West</v>
      </c>
      <c r="D17" s="5" t="s">
        <v>55</v>
      </c>
      <c r="E17" s="10">
        <f t="array" ref="E17">IFERROR(INDEX('Team Ratings'!$B$2:$B$73,MATCH($D17,'Team Ratings'!$A$2:$A$73,0)),"")</f>
        <v>13</v>
      </c>
      <c r="F17" s="6">
        <f t="array" ref="F17">IFERROR(INDEX('Team Ratings'!$D$2:$D$73,MATCH($A17,'Team Ratings'!$A$2:$A$73,0)),"")</f>
        <v>0.93369999999999997</v>
      </c>
      <c r="G17" s="7">
        <f t="array" ref="G17">IFERROR(INDEX('Team Ratings'!$E$2:$E$73,MATCH($A17,'Team Ratings'!$A$2:$A$73,0)),"")</f>
        <v>127.9</v>
      </c>
      <c r="H17" s="7">
        <f t="array" ref="H17">IFERROR(INDEX('Team Ratings'!$F$2:$F$73,MATCH($A17,'Team Ratings'!$A$2:$A$73,0)),"")</f>
        <v>101.6</v>
      </c>
      <c r="I17" s="7">
        <f t="array" ref="I17">IFERROR(INDEX('Team Ratings'!$G$2:$G$73,MATCH($A17,'Team Ratings'!$A$2:$A$73,0)),"")</f>
        <v>26.3</v>
      </c>
      <c r="J17" s="7">
        <f t="array" ref="J17">IFERROR(INDEX('Team Ratings'!$H$2:$H$73,MATCH($A17,'Team Ratings'!$A$2:$A$73,0)),"")</f>
        <v>56.5</v>
      </c>
      <c r="K17" s="7">
        <f t="array" ref="K17">IFERROR(INDEX('Team Ratings'!$I$2:$I$73,MATCH($A17,'Team Ratings'!$A$2:$A$73,0)),"")</f>
        <v>51.4</v>
      </c>
      <c r="L17" s="7">
        <f t="array" ref="L17">IFERROR(INDEX('Team Ratings'!$J$2:$J$73,MATCH($A17,'Team Ratings'!$A$2:$A$73,0)),"")</f>
        <v>12.3</v>
      </c>
      <c r="M17" s="7">
        <f t="array" ref="M17">IFERROR(INDEX('Team Ratings'!$K$2:$K$73,MATCH($A17,'Team Ratings'!$A$2:$A$73,0)),"")</f>
        <v>15.7</v>
      </c>
      <c r="N17" s="7">
        <f t="array" ref="N17">IFERROR(INDEX('Team Ratings'!$L$2:$L$73,MATCH($A17,'Team Ratings'!$A$2:$A$73,0)),"")</f>
        <v>32.200000000000003</v>
      </c>
      <c r="O17" s="7">
        <f t="array" ref="O17">IFERROR(INDEX('Team Ratings'!$M$2:$M$73,MATCH($A17,'Team Ratings'!$A$2:$A$73,0)),"")</f>
        <v>31.2</v>
      </c>
      <c r="P17" s="7">
        <f t="array" ref="P17">IFERROR(INDEX('Team Ratings'!$N$2:$N$73,MATCH($A17,'Team Ratings'!$A$2:$A$73,0)),"")</f>
        <v>36.4</v>
      </c>
      <c r="Q17" s="7">
        <f t="array" ref="Q17">IFERROR(INDEX('Team Ratings'!$O$2:$O$73,MATCH($A17,'Team Ratings'!$A$2:$A$73,0)),"")</f>
        <v>38.9</v>
      </c>
      <c r="R17" s="7">
        <f t="array" ref="R17">IFERROR(INDEX('Team Ratings'!$P$2:$P$73,MATCH($A17,'Team Ratings'!$A$2:$A$73,0)),"")</f>
        <v>31.7</v>
      </c>
      <c r="S17" s="11">
        <f t="array" ref="S17">IFERROR(INDEX('Team Ratings'!$Q$2:$Q$73,MATCH($A17,'Team Ratings'!$A$2:$A$73,0)),0)</f>
        <v>0</v>
      </c>
      <c r="T17" s="7">
        <f t="array" ref="T17">IFERROR(INDEX('Team Ratings'!$R$2:$R$73,MATCH($A17,'Team Ratings'!$A$2:$A$73,0)),"")</f>
        <v>128.19999999999999</v>
      </c>
      <c r="U17" s="7">
        <f t="array" ref="U17">IFERROR(INDEX('Team Ratings'!$S$2:$S$73,MATCH($A17,'Team Ratings'!$A$2:$A$73,0)),"")</f>
        <v>99</v>
      </c>
      <c r="V17" s="7">
        <f t="shared" si="0"/>
        <v>29.199999999999989</v>
      </c>
      <c r="W17" s="7">
        <f t="shared" si="1"/>
        <v>2.8999999999999879</v>
      </c>
      <c r="X17" s="7">
        <f t="shared" si="2"/>
        <v>27.024999999999999</v>
      </c>
      <c r="Y17" s="7">
        <f t="shared" si="3"/>
        <v>8.1999999999999993</v>
      </c>
      <c r="Z17" s="7">
        <f t="shared" si="4"/>
        <v>-3.2</v>
      </c>
      <c r="AA17" s="7">
        <f t="shared" si="5"/>
        <v>8.5</v>
      </c>
      <c r="AB17" s="7">
        <f t="shared" si="6"/>
        <v>6.39</v>
      </c>
      <c r="AC17" s="12">
        <f t="shared" si="7"/>
        <v>0.70660000000000001</v>
      </c>
      <c r="AD17" s="5" t="str">
        <f t="shared" si="8"/>
        <v>Arkansas|Hawaii</v>
      </c>
      <c r="AE17" s="5" t="s">
        <v>153</v>
      </c>
      <c r="AF17" s="5" t="s">
        <v>154</v>
      </c>
      <c r="AG17" s="5" t="s">
        <v>132</v>
      </c>
      <c r="AH17" s="10" t="b">
        <f t="shared" si="9"/>
        <v>1</v>
      </c>
      <c r="AI17" s="5" t="str">
        <f t="array" ref="AI17">IFERROR(INDEX(Matchups!$N$2:$N$64,MATCH($AE17,Matchups!$A$2:$A$64,0)),"")</f>
        <v>Arkansas</v>
      </c>
      <c r="AJ17" s="7">
        <f t="array" ref="AJ17">IFERROR(INDEX(Matchups!$O$2:$O$64,MATCH($AE17,Matchups!$A$2:$A$64,0)),"")</f>
        <v>66.7</v>
      </c>
      <c r="AK17" s="5" t="str">
        <f t="array" ref="AK17">IFERROR(INDEX(Matchups!$T$2:$T$64,MATCH($AE17,Matchups!$A$2:$A$64,0)),"")</f>
        <v>ΔComposite=1.39; AdjNET Δ=-22.1; 3PT Δ=-8.3; TO Δ=7.8; REB Δ=-7</v>
      </c>
      <c r="AL17" s="5" t="str">
        <f t="array" ref="AL17">IFERROR(INDEX(Matchups!$P$2:$P$64,MATCH($AE17,Matchups!$A$2:$A$64,0)),"")</f>
        <v/>
      </c>
      <c r="AM17" s="5" t="str">
        <f t="shared" si="10"/>
        <v>Yes</v>
      </c>
      <c r="AN17" s="5" t="str">
        <f t="shared" si="11"/>
        <v>G38</v>
      </c>
      <c r="AO17" s="5" t="str">
        <f t="shared" si="12"/>
        <v>Team 2</v>
      </c>
    </row>
    <row r="18" spans="1:41" ht="20" customHeight="1" x14ac:dyDescent="0.2">
      <c r="A18" s="5" t="s">
        <v>27</v>
      </c>
      <c r="B18" s="10">
        <f t="array" ref="B18">IFERROR(INDEX('Team Ratings'!$B$2:$B$73,MATCH($A18,'Team Ratings'!$A$2:$A$73,0)),"")</f>
        <v>5</v>
      </c>
      <c r="C18" s="10" t="str">
        <f t="array" ref="C18">IFERROR(INDEX('Team Ratings'!$C$2:$C$73,MATCH($A18,'Team Ratings'!$A$2:$A$73,0)),"")</f>
        <v>East</v>
      </c>
      <c r="D18" s="5" t="s">
        <v>34</v>
      </c>
      <c r="E18" s="10">
        <f t="array" ref="E18">IFERROR(INDEX('Team Ratings'!$B$2:$B$73,MATCH($D18,'Team Ratings'!$A$2:$A$73,0)),"")</f>
        <v>12</v>
      </c>
      <c r="F18" s="6">
        <f t="array" ref="F18">IFERROR(INDEX('Team Ratings'!$D$2:$D$73,MATCH($A18,'Team Ratings'!$A$2:$A$73,0)),"")</f>
        <v>0.9415</v>
      </c>
      <c r="G18" s="7">
        <f t="array" ref="G18">IFERROR(INDEX('Team Ratings'!$E$2:$E$73,MATCH($A18,'Team Ratings'!$A$2:$A$73,0)),"")</f>
        <v>119.8</v>
      </c>
      <c r="H18" s="7">
        <f t="array" ref="H18">IFERROR(INDEX('Team Ratings'!$F$2:$F$73,MATCH($A18,'Team Ratings'!$A$2:$A$73,0)),"")</f>
        <v>94.1</v>
      </c>
      <c r="I18" s="7">
        <f t="array" ref="I18">IFERROR(INDEX('Team Ratings'!$G$2:$G$73,MATCH($A18,'Team Ratings'!$A$2:$A$73,0)),"")</f>
        <v>25.7</v>
      </c>
      <c r="J18" s="7">
        <f t="array" ref="J18">IFERROR(INDEX('Team Ratings'!$H$2:$H$73,MATCH($A18,'Team Ratings'!$A$2:$A$73,0)),"")</f>
        <v>51</v>
      </c>
      <c r="K18" s="7">
        <f t="array" ref="K18">IFERROR(INDEX('Team Ratings'!$I$2:$I$73,MATCH($A18,'Team Ratings'!$A$2:$A$73,0)),"")</f>
        <v>47.4</v>
      </c>
      <c r="L18" s="7">
        <f t="array" ref="L18">IFERROR(INDEX('Team Ratings'!$J$2:$J$73,MATCH($A18,'Team Ratings'!$A$2:$A$73,0)),"")</f>
        <v>14.7</v>
      </c>
      <c r="M18" s="7">
        <f t="array" ref="M18">IFERROR(INDEX('Team Ratings'!$K$2:$K$73,MATCH($A18,'Team Ratings'!$A$2:$A$73,0)),"")</f>
        <v>19.399999999999999</v>
      </c>
      <c r="N18" s="7">
        <f t="array" ref="N18">IFERROR(INDEX('Team Ratings'!$L$2:$L$73,MATCH($A18,'Team Ratings'!$A$2:$A$73,0)),"")</f>
        <v>35.9</v>
      </c>
      <c r="O18" s="7">
        <f t="array" ref="O18">IFERROR(INDEX('Team Ratings'!$M$2:$M$73,MATCH($A18,'Team Ratings'!$A$2:$A$73,0)),"")</f>
        <v>30.2</v>
      </c>
      <c r="P18" s="7">
        <f t="array" ref="P18">IFERROR(INDEX('Team Ratings'!$N$2:$N$73,MATCH($A18,'Team Ratings'!$A$2:$A$73,0)),"")</f>
        <v>41.9</v>
      </c>
      <c r="Q18" s="7">
        <f t="array" ref="Q18">IFERROR(INDEX('Team Ratings'!$O$2:$O$73,MATCH($A18,'Team Ratings'!$A$2:$A$73,0)),"")</f>
        <v>33.200000000000003</v>
      </c>
      <c r="R18" s="7">
        <f t="array" ref="R18">IFERROR(INDEX('Team Ratings'!$P$2:$P$73,MATCH($A18,'Team Ratings'!$A$2:$A$73,0)),"")</f>
        <v>31.3</v>
      </c>
      <c r="S18" s="11">
        <f t="array" ref="S18">IFERROR(INDEX('Team Ratings'!$Q$2:$Q$73,MATCH($A18,'Team Ratings'!$A$2:$A$73,0)),0)</f>
        <v>0</v>
      </c>
      <c r="T18" s="7">
        <f t="array" ref="T18">IFERROR(INDEX('Team Ratings'!$R$2:$R$73,MATCH($A18,'Team Ratings'!$A$2:$A$73,0)),"")</f>
        <v>123.3</v>
      </c>
      <c r="U18" s="7">
        <f t="array" ref="U18">IFERROR(INDEX('Team Ratings'!$S$2:$S$73,MATCH($A18,'Team Ratings'!$A$2:$A$73,0)),"")</f>
        <v>91.1</v>
      </c>
      <c r="V18" s="7">
        <f t="shared" si="0"/>
        <v>32.200000000000003</v>
      </c>
      <c r="W18" s="7">
        <f t="shared" si="1"/>
        <v>6.5000000000000036</v>
      </c>
      <c r="X18" s="7">
        <f t="shared" si="2"/>
        <v>27.324999999999999</v>
      </c>
      <c r="Y18" s="7">
        <f t="shared" si="3"/>
        <v>4.3</v>
      </c>
      <c r="Z18" s="7">
        <f t="shared" si="4"/>
        <v>4.8</v>
      </c>
      <c r="AA18" s="7">
        <f t="shared" si="5"/>
        <v>10</v>
      </c>
      <c r="AB18" s="7">
        <f t="shared" si="6"/>
        <v>6.34</v>
      </c>
      <c r="AC18" s="12">
        <f t="shared" si="7"/>
        <v>0.87419999999999998</v>
      </c>
      <c r="AD18" s="5" t="str">
        <f t="shared" si="8"/>
        <v>Northern Iowa|St. John's</v>
      </c>
      <c r="AE18" s="5" t="s">
        <v>155</v>
      </c>
      <c r="AF18" s="5" t="s">
        <v>148</v>
      </c>
      <c r="AG18" s="5" t="s">
        <v>123</v>
      </c>
      <c r="AH18" s="10" t="b">
        <f t="shared" si="9"/>
        <v>1</v>
      </c>
      <c r="AI18" s="5" t="str">
        <f t="array" ref="AI18">IFERROR(INDEX(Matchups!$N$2:$N$64,MATCH($AE18,Matchups!$A$2:$A$64,0)),"")</f>
        <v>St. John's</v>
      </c>
      <c r="AJ18" s="7">
        <f t="array" ref="AJ18">IFERROR(INDEX(Matchups!$O$2:$O$64,MATCH($AE18,Matchups!$A$2:$A$64,0)),"")</f>
        <v>59.8</v>
      </c>
      <c r="AK18" s="5" t="str">
        <f t="array" ref="AK18">IFERROR(INDEX(Matchups!$T$2:$T$64,MATCH($AE18,Matchups!$A$2:$A$64,0)),"")</f>
        <v>ΔComposite=0.82; AdjNET Δ=13.5; 3PT Δ=0.7; TO Δ=1.4; REB Δ=10</v>
      </c>
      <c r="AL18" s="5" t="str">
        <f t="array" ref="AL18">IFERROR(INDEX(Matchups!$P$2:$P$64,MATCH($AE18,Matchups!$A$2:$A$64,0)),"")</f>
        <v/>
      </c>
      <c r="AM18" s="5" t="str">
        <f t="shared" si="10"/>
        <v>Yes</v>
      </c>
      <c r="AN18" s="5" t="str">
        <f t="shared" si="11"/>
        <v>G34</v>
      </c>
      <c r="AO18" s="5" t="str">
        <f t="shared" si="12"/>
        <v>Team 1</v>
      </c>
    </row>
    <row r="19" spans="1:41" ht="20" customHeight="1" x14ac:dyDescent="0.2">
      <c r="A19" s="5" t="s">
        <v>83</v>
      </c>
      <c r="B19" s="10">
        <f t="array" ref="B19">IFERROR(INDEX('Team Ratings'!$B$2:$B$73,MATCH($A19,'Team Ratings'!$A$2:$A$73,0)),"")</f>
        <v>5</v>
      </c>
      <c r="C19" s="10" t="str">
        <f t="array" ref="C19">IFERROR(INDEX('Team Ratings'!$C$2:$C$73,MATCH($A19,'Team Ratings'!$A$2:$A$73,0)),"")</f>
        <v>Midwest</v>
      </c>
      <c r="D19" s="5" t="s">
        <v>92</v>
      </c>
      <c r="E19" s="10">
        <f t="array" ref="E19">IFERROR(INDEX('Team Ratings'!$B$2:$B$73,MATCH($D19,'Team Ratings'!$A$2:$A$73,0)),"")</f>
        <v>12</v>
      </c>
      <c r="F19" s="6">
        <f t="array" ref="F19">IFERROR(INDEX('Team Ratings'!$D$2:$D$73,MATCH($A19,'Team Ratings'!$A$2:$A$73,0)),"")</f>
        <v>0.94389999999999996</v>
      </c>
      <c r="G19" s="7">
        <f t="array" ref="G19">IFERROR(INDEX('Team Ratings'!$E$2:$E$73,MATCH($A19,'Team Ratings'!$A$2:$A$73,0)),"")</f>
        <v>126.3</v>
      </c>
      <c r="H19" s="7">
        <f t="array" ref="H19">IFERROR(INDEX('Team Ratings'!$F$2:$F$73,MATCH($A19,'Team Ratings'!$A$2:$A$73,0)),"")</f>
        <v>98.8</v>
      </c>
      <c r="I19" s="7">
        <f t="array" ref="I19">IFERROR(INDEX('Team Ratings'!$G$2:$G$73,MATCH($A19,'Team Ratings'!$A$2:$A$73,0)),"")</f>
        <v>27.5</v>
      </c>
      <c r="J19" s="7">
        <f t="array" ref="J19">IFERROR(INDEX('Team Ratings'!$H$2:$H$73,MATCH($A19,'Team Ratings'!$A$2:$A$73,0)),"")</f>
        <v>56.2</v>
      </c>
      <c r="K19" s="7">
        <f t="array" ref="K19">IFERROR(INDEX('Team Ratings'!$I$2:$I$73,MATCH($A19,'Team Ratings'!$A$2:$A$73,0)),"")</f>
        <v>49.4</v>
      </c>
      <c r="L19" s="7">
        <f t="array" ref="L19">IFERROR(INDEX('Team Ratings'!$J$2:$J$73,MATCH($A19,'Team Ratings'!$A$2:$A$73,0)),"")</f>
        <v>15.9</v>
      </c>
      <c r="M19" s="7">
        <f t="array" ref="M19">IFERROR(INDEX('Team Ratings'!$K$2:$K$73,MATCH($A19,'Team Ratings'!$A$2:$A$73,0)),"")</f>
        <v>14.7</v>
      </c>
      <c r="N19" s="7">
        <f t="array" ref="N19">IFERROR(INDEX('Team Ratings'!$L$2:$L$73,MATCH($A19,'Team Ratings'!$A$2:$A$73,0)),"")</f>
        <v>33.299999999999997</v>
      </c>
      <c r="O19" s="7">
        <f t="array" ref="O19">IFERROR(INDEX('Team Ratings'!$M$2:$M$73,MATCH($A19,'Team Ratings'!$A$2:$A$73,0)),"")</f>
        <v>30.1</v>
      </c>
      <c r="P19" s="7">
        <f t="array" ref="P19">IFERROR(INDEX('Team Ratings'!$N$2:$N$73,MATCH($A19,'Team Ratings'!$A$2:$A$73,0)),"")</f>
        <v>27.1</v>
      </c>
      <c r="Q19" s="7">
        <f t="array" ref="Q19">IFERROR(INDEX('Team Ratings'!$O$2:$O$73,MATCH($A19,'Team Ratings'!$A$2:$A$73,0)),"")</f>
        <v>39.299999999999997</v>
      </c>
      <c r="R19" s="7">
        <f t="array" ref="R19">IFERROR(INDEX('Team Ratings'!$P$2:$P$73,MATCH($A19,'Team Ratings'!$A$2:$A$73,0)),"")</f>
        <v>31.5</v>
      </c>
      <c r="S19" s="11">
        <f t="array" ref="S19">IFERROR(INDEX('Team Ratings'!$Q$2:$Q$73,MATCH($A19,'Team Ratings'!$A$2:$A$73,0)),0)</f>
        <v>0</v>
      </c>
      <c r="T19" s="7">
        <f t="array" ref="T19">IFERROR(INDEX('Team Ratings'!$R$2:$R$73,MATCH($A19,'Team Ratings'!$A$2:$A$73,0)),"")</f>
        <v>117.7</v>
      </c>
      <c r="U19" s="7">
        <f t="array" ref="U19">IFERROR(INDEX('Team Ratings'!$S$2:$S$73,MATCH($A19,'Team Ratings'!$A$2:$A$73,0)),"")</f>
        <v>105.4</v>
      </c>
      <c r="V19" s="7">
        <f t="shared" si="0"/>
        <v>12.299999999999997</v>
      </c>
      <c r="W19" s="7">
        <f t="shared" si="1"/>
        <v>-15.200000000000003</v>
      </c>
      <c r="X19" s="7">
        <f t="shared" si="2"/>
        <v>23.7</v>
      </c>
      <c r="Y19" s="7">
        <f t="shared" si="3"/>
        <v>4.2</v>
      </c>
      <c r="Z19" s="7">
        <f t="shared" si="4"/>
        <v>-0.8</v>
      </c>
      <c r="AA19" s="7">
        <f t="shared" si="5"/>
        <v>5</v>
      </c>
      <c r="AB19" s="7">
        <f t="shared" si="6"/>
        <v>3.88</v>
      </c>
      <c r="AC19" s="12">
        <f t="shared" si="7"/>
        <v>-0.18440000000000001</v>
      </c>
      <c r="AD19" s="5" t="str">
        <f t="shared" si="8"/>
        <v>Akron|Texas Tech</v>
      </c>
      <c r="AE19" s="5" t="s">
        <v>156</v>
      </c>
      <c r="AF19" s="5" t="s">
        <v>150</v>
      </c>
      <c r="AG19" s="5" t="s">
        <v>123</v>
      </c>
      <c r="AH19" s="10" t="b">
        <f t="shared" si="9"/>
        <v>1</v>
      </c>
      <c r="AI19" s="5" t="str">
        <f t="array" ref="AI19">IFERROR(INDEX(Matchups!$N$2:$N$64,MATCH($AE19,Matchups!$A$2:$A$64,0)),"")</f>
        <v>Akron</v>
      </c>
      <c r="AJ19" s="7">
        <f t="array" ref="AJ19">IFERROR(INDEX(Matchups!$O$2:$O$64,MATCH($AE19,Matchups!$A$2:$A$64,0)),"")</f>
        <v>52.1</v>
      </c>
      <c r="AK19" s="5" t="str">
        <f t="array" ref="AK19">IFERROR(INDEX(Matchups!$T$2:$T$64,MATCH($AE19,Matchups!$A$2:$A$64,0)),"")</f>
        <v>ΔComposite=0.17; AdjNET Δ=-12.5; 3PT Δ=2.8; TO Δ=3.3; REB Δ=0</v>
      </c>
      <c r="AL19" s="5" t="str">
        <f t="array" ref="AL19">IFERROR(INDEX(Matchups!$P$2:$P$64,MATCH($AE19,Matchups!$A$2:$A$64,0)),"")</f>
        <v>UPSET</v>
      </c>
      <c r="AM19" s="5" t="str">
        <f t="shared" si="10"/>
        <v>No</v>
      </c>
      <c r="AN19" s="5" t="str">
        <f t="shared" si="11"/>
        <v/>
      </c>
      <c r="AO19" s="5" t="str">
        <f t="shared" si="12"/>
        <v/>
      </c>
    </row>
    <row r="20" spans="1:41" ht="20" customHeight="1" x14ac:dyDescent="0.2">
      <c r="A20" s="5" t="s">
        <v>64</v>
      </c>
      <c r="B20" s="10">
        <f t="array" ref="B20">IFERROR(INDEX('Team Ratings'!$B$2:$B$73,MATCH($A20,'Team Ratings'!$A$2:$A$73,0)),"")</f>
        <v>5</v>
      </c>
      <c r="C20" s="10" t="str">
        <f t="array" ref="C20">IFERROR(INDEX('Team Ratings'!$C$2:$C$73,MATCH($A20,'Team Ratings'!$A$2:$A$73,0)),"")</f>
        <v>South</v>
      </c>
      <c r="D20" s="5" t="s">
        <v>71</v>
      </c>
      <c r="E20" s="10">
        <f t="array" ref="E20">IFERROR(INDEX('Team Ratings'!$B$2:$B$73,MATCH($D20,'Team Ratings'!$A$2:$A$73,0)),"")</f>
        <v>12</v>
      </c>
      <c r="F20" s="6">
        <f t="array" ref="F20">IFERROR(INDEX('Team Ratings'!$D$2:$D$73,MATCH($A20,'Team Ratings'!$A$2:$A$73,0)),"")</f>
        <v>0.94610000000000005</v>
      </c>
      <c r="G20" s="7">
        <f t="array" ref="G20">IFERROR(INDEX('Team Ratings'!$E$2:$E$73,MATCH($A20,'Team Ratings'!$A$2:$A$73,0)),"")</f>
        <v>127.5</v>
      </c>
      <c r="H20" s="7">
        <f t="array" ref="H20">IFERROR(INDEX('Team Ratings'!$F$2:$F$73,MATCH($A20,'Team Ratings'!$A$2:$A$73,0)),"")</f>
        <v>99.4</v>
      </c>
      <c r="I20" s="7">
        <f t="array" ref="I20">IFERROR(INDEX('Team Ratings'!$G$2:$G$73,MATCH($A20,'Team Ratings'!$A$2:$A$73,0)),"")</f>
        <v>28.1</v>
      </c>
      <c r="J20" s="7">
        <f t="array" ref="J20">IFERROR(INDEX('Team Ratings'!$H$2:$H$73,MATCH($A20,'Team Ratings'!$A$2:$A$73,0)),"")</f>
        <v>55.3</v>
      </c>
      <c r="K20" s="7">
        <f t="array" ref="K20">IFERROR(INDEX('Team Ratings'!$I$2:$I$73,MATCH($A20,'Team Ratings'!$A$2:$A$73,0)),"")</f>
        <v>48.8</v>
      </c>
      <c r="L20" s="7">
        <f t="array" ref="L20">IFERROR(INDEX('Team Ratings'!$J$2:$J$73,MATCH($A20,'Team Ratings'!$A$2:$A$73,0)),"")</f>
        <v>13.3</v>
      </c>
      <c r="M20" s="7">
        <f t="array" ref="M20">IFERROR(INDEX('Team Ratings'!$K$2:$K$73,MATCH($A20,'Team Ratings'!$A$2:$A$73,0)),"")</f>
        <v>17.899999999999999</v>
      </c>
      <c r="N20" s="7">
        <f t="array" ref="N20">IFERROR(INDEX('Team Ratings'!$L$2:$L$73,MATCH($A20,'Team Ratings'!$A$2:$A$73,0)),"")</f>
        <v>31.2</v>
      </c>
      <c r="O20" s="7">
        <f t="array" ref="O20">IFERROR(INDEX('Team Ratings'!$M$2:$M$73,MATCH($A20,'Team Ratings'!$A$2:$A$73,0)),"")</f>
        <v>31.6</v>
      </c>
      <c r="P20" s="7">
        <f t="array" ref="P20">IFERROR(INDEX('Team Ratings'!$N$2:$N$73,MATCH($A20,'Team Ratings'!$A$2:$A$73,0)),"")</f>
        <v>38.200000000000003</v>
      </c>
      <c r="Q20" s="7">
        <f t="array" ref="Q20">IFERROR(INDEX('Team Ratings'!$O$2:$O$73,MATCH($A20,'Team Ratings'!$A$2:$A$73,0)),"")</f>
        <v>35.5</v>
      </c>
      <c r="R20" s="7">
        <f t="array" ref="R20">IFERROR(INDEX('Team Ratings'!$P$2:$P$73,MATCH($A20,'Team Ratings'!$A$2:$A$73,0)),"")</f>
        <v>32.200000000000003</v>
      </c>
      <c r="S20" s="11">
        <f t="array" ref="S20">IFERROR(INDEX('Team Ratings'!$Q$2:$Q$73,MATCH($A20,'Team Ratings'!$A$2:$A$73,0)),0)</f>
        <v>0</v>
      </c>
      <c r="T20" s="7">
        <f t="array" ref="T20">IFERROR(INDEX('Team Ratings'!$R$2:$R$73,MATCH($A20,'Team Ratings'!$A$2:$A$73,0)),"")</f>
        <v>137</v>
      </c>
      <c r="U20" s="7">
        <f t="array" ref="U20">IFERROR(INDEX('Team Ratings'!$S$2:$S$73,MATCH($A20,'Team Ratings'!$A$2:$A$73,0)),"")</f>
        <v>101</v>
      </c>
      <c r="V20" s="7">
        <f t="shared" si="0"/>
        <v>36</v>
      </c>
      <c r="W20" s="7">
        <f t="shared" si="1"/>
        <v>7.8999999999999986</v>
      </c>
      <c r="X20" s="7">
        <f t="shared" si="2"/>
        <v>30.074999999999999</v>
      </c>
      <c r="Y20" s="7">
        <f t="shared" si="3"/>
        <v>3</v>
      </c>
      <c r="Z20" s="7">
        <f t="shared" si="4"/>
        <v>3.6</v>
      </c>
      <c r="AA20" s="7">
        <f t="shared" si="5"/>
        <v>1.4</v>
      </c>
      <c r="AB20" s="7">
        <f t="shared" si="6"/>
        <v>6.82</v>
      </c>
      <c r="AC20" s="12">
        <f t="shared" si="7"/>
        <v>0.58450000000000002</v>
      </c>
      <c r="AD20" s="5" t="str">
        <f t="shared" si="8"/>
        <v>McNeese St.|Vanderbilt</v>
      </c>
      <c r="AE20" s="5" t="s">
        <v>157</v>
      </c>
      <c r="AF20" s="5" t="s">
        <v>152</v>
      </c>
      <c r="AG20" s="5" t="s">
        <v>123</v>
      </c>
      <c r="AH20" s="10" t="b">
        <f t="shared" si="9"/>
        <v>1</v>
      </c>
      <c r="AI20" s="5" t="str">
        <f t="array" ref="AI20">IFERROR(INDEX(Matchups!$N$2:$N$64,MATCH($AE20,Matchups!$A$2:$A$64,0)),"")</f>
        <v>Vanderbilt</v>
      </c>
      <c r="AJ20" s="7">
        <f t="array" ref="AJ20">IFERROR(INDEX(Matchups!$O$2:$O$64,MATCH($AE20,Matchups!$A$2:$A$64,0)),"")</f>
        <v>53.5</v>
      </c>
      <c r="AK20" s="5" t="str">
        <f t="array" ref="AK20">IFERROR(INDEX(Matchups!$T$2:$T$64,MATCH($AE20,Matchups!$A$2:$A$64,0)),"")</f>
        <v>ΔComposite=0.29; AdjNET Δ=-16.9; 3PT Δ=-3.6; TO Δ=7.7; REB Δ=7.2</v>
      </c>
      <c r="AL20" s="5" t="str">
        <f t="array" ref="AL20">IFERROR(INDEX(Matchups!$P$2:$P$64,MATCH($AE20,Matchups!$A$2:$A$64,0)),"")</f>
        <v/>
      </c>
      <c r="AM20" s="5" t="str">
        <f t="shared" si="10"/>
        <v>Yes</v>
      </c>
      <c r="AN20" s="5" t="str">
        <f t="shared" si="11"/>
        <v>G42</v>
      </c>
      <c r="AO20" s="5" t="str">
        <f t="shared" si="12"/>
        <v>Team 1</v>
      </c>
    </row>
    <row r="21" spans="1:41" ht="20" customHeight="1" x14ac:dyDescent="0.2">
      <c r="A21" s="5" t="s">
        <v>44</v>
      </c>
      <c r="B21" s="10">
        <f t="array" ref="B21">IFERROR(INDEX('Team Ratings'!$B$2:$B$73,MATCH($A21,'Team Ratings'!$A$2:$A$73,0)),"")</f>
        <v>5</v>
      </c>
      <c r="C21" s="10" t="str">
        <f t="array" ref="C21">IFERROR(INDEX('Team Ratings'!$C$2:$C$73,MATCH($A21,'Team Ratings'!$A$2:$A$73,0)),"")</f>
        <v>West</v>
      </c>
      <c r="D21" s="5" t="s">
        <v>54</v>
      </c>
      <c r="E21" s="10">
        <f t="array" ref="E21">IFERROR(INDEX('Team Ratings'!$B$2:$B$73,MATCH($D21,'Team Ratings'!$A$2:$A$73,0)),"")</f>
        <v>12</v>
      </c>
      <c r="F21" s="6">
        <f t="array" ref="F21">IFERROR(INDEX('Team Ratings'!$D$2:$D$73,MATCH($A21,'Team Ratings'!$A$2:$A$73,0)),"")</f>
        <v>0.9294</v>
      </c>
      <c r="G21" s="7">
        <f t="array" ref="G21">IFERROR(INDEX('Team Ratings'!$E$2:$E$73,MATCH($A21,'Team Ratings'!$A$2:$A$73,0)),"")</f>
        <v>127.2</v>
      </c>
      <c r="H21" s="7">
        <f t="array" ref="H21">IFERROR(INDEX('Team Ratings'!$F$2:$F$73,MATCH($A21,'Team Ratings'!$A$2:$A$73,0)),"")</f>
        <v>101.6</v>
      </c>
      <c r="I21" s="7">
        <f t="array" ref="I21">IFERROR(INDEX('Team Ratings'!$G$2:$G$73,MATCH($A21,'Team Ratings'!$A$2:$A$73,0)),"")</f>
        <v>25.6</v>
      </c>
      <c r="J21" s="7">
        <f t="array" ref="J21">IFERROR(INDEX('Team Ratings'!$H$2:$H$73,MATCH($A21,'Team Ratings'!$A$2:$A$73,0)),"")</f>
        <v>54.5</v>
      </c>
      <c r="K21" s="7">
        <f t="array" ref="K21">IFERROR(INDEX('Team Ratings'!$I$2:$I$73,MATCH($A21,'Team Ratings'!$A$2:$A$73,0)),"")</f>
        <v>51.3</v>
      </c>
      <c r="L21" s="7">
        <f t="array" ref="L21">IFERROR(INDEX('Team Ratings'!$J$2:$J$73,MATCH($A21,'Team Ratings'!$A$2:$A$73,0)),"")</f>
        <v>12.8</v>
      </c>
      <c r="M21" s="7">
        <f t="array" ref="M21">IFERROR(INDEX('Team Ratings'!$K$2:$K$73,MATCH($A21,'Team Ratings'!$A$2:$A$73,0)),"")</f>
        <v>14.4</v>
      </c>
      <c r="N21" s="7">
        <f t="array" ref="N21">IFERROR(INDEX('Team Ratings'!$L$2:$L$73,MATCH($A21,'Team Ratings'!$A$2:$A$73,0)),"")</f>
        <v>29.4</v>
      </c>
      <c r="O21" s="7">
        <f t="array" ref="O21">IFERROR(INDEX('Team Ratings'!$M$2:$M$73,MATCH($A21,'Team Ratings'!$A$2:$A$73,0)),"")</f>
        <v>28.2</v>
      </c>
      <c r="P21" s="7">
        <f t="array" ref="P21">IFERROR(INDEX('Team Ratings'!$N$2:$N$73,MATCH($A21,'Team Ratings'!$A$2:$A$73,0)),"")</f>
        <v>31.9</v>
      </c>
      <c r="Q21" s="7">
        <f t="array" ref="Q21">IFERROR(INDEX('Team Ratings'!$O$2:$O$73,MATCH($A21,'Team Ratings'!$A$2:$A$73,0)),"")</f>
        <v>36.1</v>
      </c>
      <c r="R21" s="7">
        <f t="array" ref="R21">IFERROR(INDEX('Team Ratings'!$P$2:$P$73,MATCH($A21,'Team Ratings'!$A$2:$A$73,0)),"")</f>
        <v>33.299999999999997</v>
      </c>
      <c r="S21" s="11">
        <f t="array" ref="S21">IFERROR(INDEX('Team Ratings'!$Q$2:$Q$73,MATCH($A21,'Team Ratings'!$A$2:$A$73,0)),0)</f>
        <v>0</v>
      </c>
      <c r="T21" s="7">
        <f t="array" ref="T21">IFERROR(INDEX('Team Ratings'!$R$2:$R$73,MATCH($A21,'Team Ratings'!$A$2:$A$73,0)),"")</f>
        <v>136.1</v>
      </c>
      <c r="U21" s="7">
        <f t="array" ref="U21">IFERROR(INDEX('Team Ratings'!$S$2:$S$73,MATCH($A21,'Team Ratings'!$A$2:$A$73,0)),"")</f>
        <v>99.1</v>
      </c>
      <c r="V21" s="7">
        <f t="shared" si="0"/>
        <v>37</v>
      </c>
      <c r="W21" s="7">
        <f t="shared" si="1"/>
        <v>11.399999999999999</v>
      </c>
      <c r="X21" s="7">
        <f t="shared" si="2"/>
        <v>28.45</v>
      </c>
      <c r="Y21" s="7">
        <f t="shared" si="3"/>
        <v>4.2</v>
      </c>
      <c r="Z21" s="7">
        <f t="shared" si="4"/>
        <v>1.4</v>
      </c>
      <c r="AA21" s="7">
        <f t="shared" si="5"/>
        <v>1.9</v>
      </c>
      <c r="AB21" s="7">
        <f t="shared" si="6"/>
        <v>6.74</v>
      </c>
      <c r="AC21" s="12">
        <f t="shared" si="7"/>
        <v>0.63260000000000005</v>
      </c>
      <c r="AD21" s="5" t="str">
        <f t="shared" si="8"/>
        <v>High Point|Wisconsin</v>
      </c>
      <c r="AE21" s="5" t="s">
        <v>158</v>
      </c>
      <c r="AF21" s="5" t="s">
        <v>154</v>
      </c>
      <c r="AG21" s="5" t="s">
        <v>123</v>
      </c>
      <c r="AH21" s="10" t="b">
        <f t="shared" si="9"/>
        <v>1</v>
      </c>
      <c r="AI21" s="5" t="str">
        <f t="array" ref="AI21">IFERROR(INDEX(Matchups!$N$2:$N$64,MATCH($AE21,Matchups!$A$2:$A$64,0)),"")</f>
        <v>Wisconsin</v>
      </c>
      <c r="AJ21" s="7">
        <f t="array" ref="AJ21">IFERROR(INDEX(Matchups!$O$2:$O$64,MATCH($AE21,Matchups!$A$2:$A$64,0)),"")</f>
        <v>59</v>
      </c>
      <c r="AK21" s="5" t="str">
        <f t="array" ref="AK21">IFERROR(INDEX(Matchups!$T$2:$T$64,MATCH($AE21,Matchups!$A$2:$A$64,0)),"")</f>
        <v>ΔComposite=0.75; AdjNET Δ=20.6; 3PT Δ=3.1; TO Δ=-7.7; REB Δ=-6.2</v>
      </c>
      <c r="AL21" s="5" t="str">
        <f t="array" ref="AL21">IFERROR(INDEX(Matchups!$P$2:$P$64,MATCH($AE21,Matchups!$A$2:$A$64,0)),"")</f>
        <v/>
      </c>
      <c r="AM21" s="5" t="str">
        <f t="shared" si="10"/>
        <v>Yes</v>
      </c>
      <c r="AN21" s="5" t="str">
        <f t="shared" si="11"/>
        <v>G38</v>
      </c>
      <c r="AO21" s="5" t="str">
        <f t="shared" si="12"/>
        <v>Team 1</v>
      </c>
    </row>
    <row r="22" spans="1:41" ht="20" customHeight="1" x14ac:dyDescent="0.2">
      <c r="A22" s="5" t="s">
        <v>28</v>
      </c>
      <c r="B22" s="10">
        <f t="array" ref="B22">IFERROR(INDEX('Team Ratings'!$B$2:$B$73,MATCH($A22,'Team Ratings'!$A$2:$A$73,0)),"")</f>
        <v>6</v>
      </c>
      <c r="C22" s="10" t="str">
        <f t="array" ref="C22">IFERROR(INDEX('Team Ratings'!$C$2:$C$73,MATCH($A22,'Team Ratings'!$A$2:$A$73,0)),"")</f>
        <v>East</v>
      </c>
      <c r="D22" s="5" t="s">
        <v>33</v>
      </c>
      <c r="E22" s="10">
        <f t="array" ref="E22">IFERROR(INDEX('Team Ratings'!$B$2:$B$73,MATCH($D22,'Team Ratings'!$A$2:$A$73,0)),"")</f>
        <v>11</v>
      </c>
      <c r="F22" s="6">
        <f t="array" ref="F22">IFERROR(INDEX('Team Ratings'!$D$2:$D$73,MATCH($A22,'Team Ratings'!$A$2:$A$73,0)),"")</f>
        <v>0.93640000000000001</v>
      </c>
      <c r="G22" s="7">
        <f t="array" ref="G22">IFERROR(INDEX('Team Ratings'!$E$2:$E$73,MATCH($A22,'Team Ratings'!$A$2:$A$73,0)),"")</f>
        <v>124</v>
      </c>
      <c r="H22" s="7">
        <f t="array" ref="H22">IFERROR(INDEX('Team Ratings'!$F$2:$F$73,MATCH($A22,'Team Ratings'!$A$2:$A$73,0)),"")</f>
        <v>98.2</v>
      </c>
      <c r="I22" s="7">
        <f t="array" ref="I22">IFERROR(INDEX('Team Ratings'!$G$2:$G$73,MATCH($A22,'Team Ratings'!$A$2:$A$73,0)),"")</f>
        <v>25.8</v>
      </c>
      <c r="J22" s="7">
        <f t="array" ref="J22">IFERROR(INDEX('Team Ratings'!$H$2:$H$73,MATCH($A22,'Team Ratings'!$A$2:$A$73,0)),"")</f>
        <v>56.4</v>
      </c>
      <c r="K22" s="7">
        <f t="array" ref="K22">IFERROR(INDEX('Team Ratings'!$I$2:$I$73,MATCH($A22,'Team Ratings'!$A$2:$A$73,0)),"")</f>
        <v>48.8</v>
      </c>
      <c r="L22" s="7">
        <f t="array" ref="L22">IFERROR(INDEX('Team Ratings'!$J$2:$J$73,MATCH($A22,'Team Ratings'!$A$2:$A$73,0)),"")</f>
        <v>16.399999999999999</v>
      </c>
      <c r="M22" s="7">
        <f t="array" ref="M22">IFERROR(INDEX('Team Ratings'!$K$2:$K$73,MATCH($A22,'Team Ratings'!$A$2:$A$73,0)),"")</f>
        <v>16.7</v>
      </c>
      <c r="N22" s="7">
        <f t="array" ref="N22">IFERROR(INDEX('Team Ratings'!$L$2:$L$73,MATCH($A22,'Team Ratings'!$A$2:$A$73,0)),"")</f>
        <v>32.9</v>
      </c>
      <c r="O22" s="7">
        <f t="array" ref="O22">IFERROR(INDEX('Team Ratings'!$M$2:$M$73,MATCH($A22,'Team Ratings'!$A$2:$A$73,0)),"")</f>
        <v>26.9</v>
      </c>
      <c r="P22" s="7">
        <f t="array" ref="P22">IFERROR(INDEX('Team Ratings'!$N$2:$N$73,MATCH($A22,'Team Ratings'!$A$2:$A$73,0)),"")</f>
        <v>33.5</v>
      </c>
      <c r="Q22" s="7">
        <f t="array" ref="Q22">IFERROR(INDEX('Team Ratings'!$O$2:$O$73,MATCH($A22,'Team Ratings'!$A$2:$A$73,0)),"")</f>
        <v>35.700000000000003</v>
      </c>
      <c r="R22" s="7">
        <f t="array" ref="R22">IFERROR(INDEX('Team Ratings'!$P$2:$P$73,MATCH($A22,'Team Ratings'!$A$2:$A$73,0)),"")</f>
        <v>32.700000000000003</v>
      </c>
      <c r="S22" s="11">
        <f t="array" ref="S22">IFERROR(INDEX('Team Ratings'!$Q$2:$Q$73,MATCH($A22,'Team Ratings'!$A$2:$A$73,0)),0)</f>
        <v>-2.5</v>
      </c>
      <c r="T22" s="7">
        <f t="array" ref="T22">IFERROR(INDEX('Team Ratings'!$R$2:$R$73,MATCH($A22,'Team Ratings'!$A$2:$A$73,0)),"")</f>
        <v>124.2</v>
      </c>
      <c r="U22" s="7">
        <f t="array" ref="U22">IFERROR(INDEX('Team Ratings'!$S$2:$S$73,MATCH($A22,'Team Ratings'!$A$2:$A$73,0)),"")</f>
        <v>98.2</v>
      </c>
      <c r="V22" s="7">
        <f t="shared" si="0"/>
        <v>26</v>
      </c>
      <c r="W22" s="7">
        <f t="shared" si="1"/>
        <v>0.19999999999999929</v>
      </c>
      <c r="X22" s="7">
        <f t="shared" si="2"/>
        <v>25.85</v>
      </c>
      <c r="Y22" s="7">
        <f t="shared" si="3"/>
        <v>1.8</v>
      </c>
      <c r="Z22" s="7">
        <f t="shared" si="4"/>
        <v>1.5</v>
      </c>
      <c r="AA22" s="7">
        <f t="shared" si="5"/>
        <v>0</v>
      </c>
      <c r="AB22" s="7">
        <f t="shared" si="6"/>
        <v>5.13</v>
      </c>
      <c r="AC22" s="12">
        <f t="shared" si="7"/>
        <v>-0.16639999999999999</v>
      </c>
      <c r="AD22" s="5" t="str">
        <f t="shared" si="8"/>
        <v>Louisville|South Florida</v>
      </c>
      <c r="AE22" s="5" t="s">
        <v>159</v>
      </c>
      <c r="AF22" s="5" t="s">
        <v>140</v>
      </c>
      <c r="AG22" s="5" t="s">
        <v>123</v>
      </c>
      <c r="AH22" s="10" t="b">
        <f t="shared" si="9"/>
        <v>1</v>
      </c>
      <c r="AI22" s="5" t="str">
        <f t="array" ref="AI22">IFERROR(INDEX(Matchups!$N$2:$N$64,MATCH($AE22,Matchups!$A$2:$A$64,0)),"")</f>
        <v>South Florida</v>
      </c>
      <c r="AJ22" s="7">
        <f t="array" ref="AJ22">IFERROR(INDEX(Matchups!$O$2:$O$64,MATCH($AE22,Matchups!$A$2:$A$64,0)),"")</f>
        <v>54.1</v>
      </c>
      <c r="AK22" s="5" t="str">
        <f t="array" ref="AK22">IFERROR(INDEX(Matchups!$T$2:$T$64,MATCH($AE22,Matchups!$A$2:$A$64,0)),"")</f>
        <v>ΔComposite=0.34; AdjNET Δ=8.9; 3PT Δ=1.4; TO Δ=-0.9; REB Δ=-10</v>
      </c>
      <c r="AL22" s="5" t="str">
        <f t="array" ref="AL22">IFERROR(INDEX(Matchups!$P$2:$P$64,MATCH($AE22,Matchups!$A$2:$A$64,0)),"")</f>
        <v>UPSET</v>
      </c>
      <c r="AM22" s="5" t="str">
        <f t="shared" si="10"/>
        <v>No</v>
      </c>
      <c r="AN22" s="5" t="str">
        <f t="shared" si="11"/>
        <v/>
      </c>
      <c r="AO22" s="5" t="str">
        <f t="shared" si="12"/>
        <v/>
      </c>
    </row>
    <row r="23" spans="1:41" ht="20" customHeight="1" x14ac:dyDescent="0.2">
      <c r="A23" s="5" t="s">
        <v>84</v>
      </c>
      <c r="B23" s="10">
        <f t="array" ref="B23">IFERROR(INDEX('Team Ratings'!$B$2:$B$73,MATCH($A23,'Team Ratings'!$A$2:$A$73,0)),"")</f>
        <v>6</v>
      </c>
      <c r="C23" s="10" t="str">
        <f t="array" ref="C23">IFERROR(INDEX('Team Ratings'!$C$2:$C$73,MATCH($A23,'Team Ratings'!$A$2:$A$73,0)),"")</f>
        <v>Midwest</v>
      </c>
      <c r="D23" s="5" t="s">
        <v>89</v>
      </c>
      <c r="E23" s="10">
        <f t="array" ref="E23">IFERROR(INDEX('Team Ratings'!$B$2:$B$73,MATCH($D23,'Team Ratings'!$A$2:$A$73,0)),"")</f>
        <v>11</v>
      </c>
      <c r="F23" s="6">
        <f t="array" ref="F23">IFERROR(INDEX('Team Ratings'!$D$2:$D$73,MATCH($A23,'Team Ratings'!$A$2:$A$73,0)),"")</f>
        <v>0.94079999999999997</v>
      </c>
      <c r="G23" s="7">
        <f t="array" ref="G23">IFERROR(INDEX('Team Ratings'!$E$2:$E$73,MATCH($A23,'Team Ratings'!$A$2:$A$73,0)),"")</f>
        <v>121.5</v>
      </c>
      <c r="H23" s="7">
        <f t="array" ref="H23">IFERROR(INDEX('Team Ratings'!$F$2:$F$73,MATCH($A23,'Team Ratings'!$A$2:$A$73,0)),"")</f>
        <v>95.5</v>
      </c>
      <c r="I23" s="7">
        <f t="array" ref="I23">IFERROR(INDEX('Team Ratings'!$G$2:$G$73,MATCH($A23,'Team Ratings'!$A$2:$A$73,0)),"")</f>
        <v>26</v>
      </c>
      <c r="J23" s="7">
        <f t="array" ref="J23">IFERROR(INDEX('Team Ratings'!$H$2:$H$73,MATCH($A23,'Team Ratings'!$A$2:$A$73,0)),"")</f>
        <v>51.6</v>
      </c>
      <c r="K23" s="7">
        <f t="array" ref="K23">IFERROR(INDEX('Team Ratings'!$I$2:$I$73,MATCH($A23,'Team Ratings'!$A$2:$A$73,0)),"")</f>
        <v>47.7</v>
      </c>
      <c r="L23" s="7">
        <f t="array" ref="L23">IFERROR(INDEX('Team Ratings'!$J$2:$J$73,MATCH($A23,'Team Ratings'!$A$2:$A$73,0)),"")</f>
        <v>17.100000000000001</v>
      </c>
      <c r="M23" s="7">
        <f t="array" ref="M23">IFERROR(INDEX('Team Ratings'!$K$2:$K$73,MATCH($A23,'Team Ratings'!$A$2:$A$73,0)),"")</f>
        <v>16.3</v>
      </c>
      <c r="N23" s="7">
        <f t="array" ref="N23">IFERROR(INDEX('Team Ratings'!$L$2:$L$73,MATCH($A23,'Team Ratings'!$A$2:$A$73,0)),"")</f>
        <v>45.1</v>
      </c>
      <c r="O23" s="7">
        <f t="array" ref="O23">IFERROR(INDEX('Team Ratings'!$M$2:$M$73,MATCH($A23,'Team Ratings'!$A$2:$A$73,0)),"")</f>
        <v>27.9</v>
      </c>
      <c r="P23" s="7">
        <f t="array" ref="P23">IFERROR(INDEX('Team Ratings'!$N$2:$N$73,MATCH($A23,'Team Ratings'!$A$2:$A$73,0)),"")</f>
        <v>38.700000000000003</v>
      </c>
      <c r="Q23" s="7">
        <f t="array" ref="Q23">IFERROR(INDEX('Team Ratings'!$O$2:$O$73,MATCH($A23,'Team Ratings'!$A$2:$A$73,0)),"")</f>
        <v>33.4</v>
      </c>
      <c r="R23" s="7">
        <f t="array" ref="R23">IFERROR(INDEX('Team Ratings'!$P$2:$P$73,MATCH($A23,'Team Ratings'!$A$2:$A$73,0)),"")</f>
        <v>30.6</v>
      </c>
      <c r="S23" s="11">
        <f t="array" ref="S23">IFERROR(INDEX('Team Ratings'!$Q$2:$Q$73,MATCH($A23,'Team Ratings'!$A$2:$A$73,0)),0)</f>
        <v>0</v>
      </c>
      <c r="T23" s="7">
        <f t="array" ref="T23">IFERROR(INDEX('Team Ratings'!$R$2:$R$73,MATCH($A23,'Team Ratings'!$A$2:$A$73,0)),"")</f>
        <v>120.4</v>
      </c>
      <c r="U23" s="7">
        <f t="array" ref="U23">IFERROR(INDEX('Team Ratings'!$S$2:$S$73,MATCH($A23,'Team Ratings'!$A$2:$A$73,0)),"")</f>
        <v>97.6</v>
      </c>
      <c r="V23" s="7">
        <f t="shared" si="0"/>
        <v>22.800000000000011</v>
      </c>
      <c r="W23" s="7">
        <f t="shared" si="1"/>
        <v>-3.1999999999999886</v>
      </c>
      <c r="X23" s="7">
        <f t="shared" si="2"/>
        <v>25.2</v>
      </c>
      <c r="Y23" s="7">
        <f t="shared" si="3"/>
        <v>0.4</v>
      </c>
      <c r="Z23" s="7">
        <f t="shared" si="4"/>
        <v>1.8</v>
      </c>
      <c r="AA23" s="7">
        <f t="shared" si="5"/>
        <v>10</v>
      </c>
      <c r="AB23" s="7">
        <f t="shared" si="6"/>
        <v>4.88</v>
      </c>
      <c r="AC23" s="12">
        <f t="shared" si="7"/>
        <v>0.1928</v>
      </c>
      <c r="AD23" s="5" t="str">
        <f t="shared" si="8"/>
        <v>Miami OH|Tennessee</v>
      </c>
      <c r="AE23" s="5" t="s">
        <v>160</v>
      </c>
      <c r="AF23" s="5" t="s">
        <v>142</v>
      </c>
      <c r="AG23" s="5" t="s">
        <v>123</v>
      </c>
      <c r="AH23" s="10" t="b">
        <f t="shared" si="9"/>
        <v>1</v>
      </c>
      <c r="AI23" s="5" t="str">
        <f t="array" ref="AI23">IFERROR(INDEX(Matchups!$N$2:$N$64,MATCH($AE23,Matchups!$A$2:$A$64,0)),"")</f>
        <v>Tennessee</v>
      </c>
      <c r="AJ23" s="7">
        <f t="array" ref="AJ23">IFERROR(INDEX(Matchups!$O$2:$O$64,MATCH($AE23,Matchups!$A$2:$A$64,0)),"")</f>
        <v>57.9</v>
      </c>
      <c r="AK23" s="5" t="str">
        <f t="array" ref="AK23">IFERROR(INDEX(Matchups!$T$2:$T$64,MATCH($AE23,Matchups!$A$2:$A$64,0)),"")</f>
        <v>ΔComposite=0.66; AdjNET Δ=-17.6; 3PT Δ=6.5; TO Δ=-1.4; REB Δ=-10</v>
      </c>
      <c r="AL23" s="5" t="str">
        <f t="array" ref="AL23">IFERROR(INDEX(Matchups!$P$2:$P$64,MATCH($AE23,Matchups!$A$2:$A$64,0)),"")</f>
        <v/>
      </c>
      <c r="AM23" s="5" t="str">
        <f t="shared" si="10"/>
        <v>Yes</v>
      </c>
      <c r="AN23" s="5" t="str">
        <f t="shared" si="11"/>
        <v>G47</v>
      </c>
      <c r="AO23" s="5" t="str">
        <f t="shared" si="12"/>
        <v>Team 1</v>
      </c>
    </row>
    <row r="24" spans="1:41" ht="20" customHeight="1" x14ac:dyDescent="0.2">
      <c r="A24" s="5" t="s">
        <v>65</v>
      </c>
      <c r="B24" s="10">
        <f t="array" ref="B24">IFERROR(INDEX('Team Ratings'!$B$2:$B$73,MATCH($A24,'Team Ratings'!$A$2:$A$73,0)),"")</f>
        <v>6</v>
      </c>
      <c r="C24" s="10" t="str">
        <f t="array" ref="C24">IFERROR(INDEX('Team Ratings'!$C$2:$C$73,MATCH($A24,'Team Ratings'!$A$2:$A$73,0)),"")</f>
        <v>South</v>
      </c>
      <c r="D24" s="5" t="s">
        <v>70</v>
      </c>
      <c r="E24" s="10">
        <f t="array" ref="E24">IFERROR(INDEX('Team Ratings'!$B$2:$B$73,MATCH($D24,'Team Ratings'!$A$2:$A$73,0)),"")</f>
        <v>11</v>
      </c>
      <c r="F24" s="6">
        <f t="array" ref="F24">IFERROR(INDEX('Team Ratings'!$D$2:$D$73,MATCH($A24,'Team Ratings'!$A$2:$A$73,0)),"")</f>
        <v>0.90300000000000002</v>
      </c>
      <c r="G24" s="7">
        <f t="array" ref="G24">IFERROR(INDEX('Team Ratings'!$E$2:$E$73,MATCH($A24,'Team Ratings'!$A$2:$A$73,0)),"")</f>
        <v>121.4</v>
      </c>
      <c r="H24" s="7">
        <f t="array" ref="H24">IFERROR(INDEX('Team Ratings'!$F$2:$F$73,MATCH($A24,'Team Ratings'!$A$2:$A$73,0)),"")</f>
        <v>100</v>
      </c>
      <c r="I24" s="7">
        <f t="array" ref="I24">IFERROR(INDEX('Team Ratings'!$G$2:$G$73,MATCH($A24,'Team Ratings'!$A$2:$A$73,0)),"")</f>
        <v>21.4</v>
      </c>
      <c r="J24" s="7">
        <f t="array" ref="J24">IFERROR(INDEX('Team Ratings'!$H$2:$H$73,MATCH($A24,'Team Ratings'!$A$2:$A$73,0)),"")</f>
        <v>54.6</v>
      </c>
      <c r="K24" s="7">
        <f t="array" ref="K24">IFERROR(INDEX('Team Ratings'!$I$2:$I$73,MATCH($A24,'Team Ratings'!$A$2:$A$73,0)),"")</f>
        <v>48.2</v>
      </c>
      <c r="L24" s="7">
        <f t="array" ref="L24">IFERROR(INDEX('Team Ratings'!$J$2:$J$73,MATCH($A24,'Team Ratings'!$A$2:$A$73,0)),"")</f>
        <v>14</v>
      </c>
      <c r="M24" s="7">
        <f t="array" ref="M24">IFERROR(INDEX('Team Ratings'!$K$2:$K$73,MATCH($A24,'Team Ratings'!$A$2:$A$73,0)),"")</f>
        <v>13.6</v>
      </c>
      <c r="N24" s="7">
        <f t="array" ref="N24">IFERROR(INDEX('Team Ratings'!$L$2:$L$73,MATCH($A24,'Team Ratings'!$A$2:$A$73,0)),"")</f>
        <v>31.4</v>
      </c>
      <c r="O24" s="7">
        <f t="array" ref="O24">IFERROR(INDEX('Team Ratings'!$M$2:$M$73,MATCH($A24,'Team Ratings'!$A$2:$A$73,0)),"")</f>
        <v>28.1</v>
      </c>
      <c r="P24" s="7">
        <f t="array" ref="P24">IFERROR(INDEX('Team Ratings'!$N$2:$N$73,MATCH($A24,'Team Ratings'!$A$2:$A$73,0)),"")</f>
        <v>37.4</v>
      </c>
      <c r="Q24" s="7">
        <f t="array" ref="Q24">IFERROR(INDEX('Team Ratings'!$O$2:$O$73,MATCH($A24,'Team Ratings'!$A$2:$A$73,0)),"")</f>
        <v>34.5</v>
      </c>
      <c r="R24" s="7">
        <f t="array" ref="R24">IFERROR(INDEX('Team Ratings'!$P$2:$P$73,MATCH($A24,'Team Ratings'!$A$2:$A$73,0)),"")</f>
        <v>34.5</v>
      </c>
      <c r="S24" s="11">
        <f t="array" ref="S24">IFERROR(INDEX('Team Ratings'!$Q$2:$Q$73,MATCH($A24,'Team Ratings'!$A$2:$A$73,0)),0)</f>
        <v>-3</v>
      </c>
      <c r="T24" s="7">
        <f t="array" ref="T24">IFERROR(INDEX('Team Ratings'!$R$2:$R$73,MATCH($A24,'Team Ratings'!$A$2:$A$73,0)),"")</f>
        <v>117.3</v>
      </c>
      <c r="U24" s="7">
        <f t="array" ref="U24">IFERROR(INDEX('Team Ratings'!$S$2:$S$73,MATCH($A24,'Team Ratings'!$A$2:$A$73,0)),"")</f>
        <v>100.5</v>
      </c>
      <c r="V24" s="7">
        <f t="shared" si="0"/>
        <v>16.799999999999997</v>
      </c>
      <c r="W24" s="7">
        <f t="shared" si="1"/>
        <v>-4.6000000000000014</v>
      </c>
      <c r="X24" s="7">
        <f t="shared" si="2"/>
        <v>20.25</v>
      </c>
      <c r="Y24" s="7">
        <f t="shared" si="3"/>
        <v>1.4</v>
      </c>
      <c r="Z24" s="7">
        <f t="shared" si="4"/>
        <v>-1.6</v>
      </c>
      <c r="AA24" s="7">
        <f t="shared" si="5"/>
        <v>3.65</v>
      </c>
      <c r="AB24" s="7">
        <f t="shared" si="6"/>
        <v>4.5599999999999996</v>
      </c>
      <c r="AC24" s="12">
        <f t="shared" si="7"/>
        <v>-0.51280000000000003</v>
      </c>
      <c r="AD24" s="5" t="str">
        <f t="shared" si="8"/>
        <v>North Carolina|VCU</v>
      </c>
      <c r="AE24" s="5" t="s">
        <v>161</v>
      </c>
      <c r="AF24" s="5" t="s">
        <v>144</v>
      </c>
      <c r="AG24" s="5" t="s">
        <v>123</v>
      </c>
      <c r="AH24" s="10" t="b">
        <f t="shared" si="9"/>
        <v>1</v>
      </c>
      <c r="AI24" s="5" t="str">
        <f t="array" ref="AI24">IFERROR(INDEX(Matchups!$N$2:$N$64,MATCH($AE24,Matchups!$A$2:$A$64,0)),"")</f>
        <v>VCU</v>
      </c>
      <c r="AJ24" s="7">
        <f t="array" ref="AJ24">IFERROR(INDEX(Matchups!$O$2:$O$64,MATCH($AE24,Matchups!$A$2:$A$64,0)),"")</f>
        <v>58.3</v>
      </c>
      <c r="AK24" s="5" t="str">
        <f t="array" ref="AK24">IFERROR(INDEX(Matchups!$T$2:$T$64,MATCH($AE24,Matchups!$A$2:$A$64,0)),"")</f>
        <v>ΔComposite=0.7; AdjNET Δ=-2.7; 3PT Δ=0.8; TO Δ=4.8; REB Δ=2.7</v>
      </c>
      <c r="AL24" s="5" t="str">
        <f t="array" ref="AL24">IFERROR(INDEX(Matchups!$P$2:$P$64,MATCH($AE24,Matchups!$A$2:$A$64,0)),"")</f>
        <v>UPSET</v>
      </c>
      <c r="AM24" s="5" t="str">
        <f t="shared" si="10"/>
        <v>No</v>
      </c>
      <c r="AN24" s="5" t="str">
        <f t="shared" si="11"/>
        <v/>
      </c>
      <c r="AO24" s="5" t="str">
        <f t="shared" si="12"/>
        <v/>
      </c>
    </row>
    <row r="25" spans="1:41" ht="20" customHeight="1" x14ac:dyDescent="0.2">
      <c r="A25" s="5" t="s">
        <v>45</v>
      </c>
      <c r="B25" s="10">
        <f t="array" ref="B25">IFERROR(INDEX('Team Ratings'!$B$2:$B$73,MATCH($A25,'Team Ratings'!$A$2:$A$73,0)),"")</f>
        <v>6</v>
      </c>
      <c r="C25" s="10" t="str">
        <f t="array" ref="C25">IFERROR(INDEX('Team Ratings'!$C$2:$C$73,MATCH($A25,'Team Ratings'!$A$2:$A$73,0)),"")</f>
        <v>West</v>
      </c>
      <c r="D25" s="5" t="s">
        <v>53</v>
      </c>
      <c r="E25" s="10">
        <f t="array" ref="E25">IFERROR(INDEX('Team Ratings'!$B$2:$B$73,MATCH($D25,'Team Ratings'!$A$2:$A$73,0)),"")</f>
        <v>11</v>
      </c>
      <c r="F25" s="6">
        <f t="array" ref="F25">IFERROR(INDEX('Team Ratings'!$D$2:$D$73,MATCH($A25,'Team Ratings'!$A$2:$A$73,0)),"")</f>
        <v>0.88660000000000005</v>
      </c>
      <c r="G25" s="7">
        <f t="array" ref="G25">IFERROR(INDEX('Team Ratings'!$E$2:$E$73,MATCH($A25,'Team Ratings'!$A$2:$A$73,0)),"")</f>
        <v>124.8</v>
      </c>
      <c r="H25" s="7">
        <f t="array" ref="H25">IFERROR(INDEX('Team Ratings'!$F$2:$F$73,MATCH($A25,'Team Ratings'!$A$2:$A$73,0)),"")</f>
        <v>104.3</v>
      </c>
      <c r="I25" s="7">
        <f t="array" ref="I25">IFERROR(INDEX('Team Ratings'!$G$2:$G$73,MATCH($A25,'Team Ratings'!$A$2:$A$73,0)),"")</f>
        <v>20.5</v>
      </c>
      <c r="J25" s="7">
        <f t="array" ref="J25">IFERROR(INDEX('Team Ratings'!$H$2:$H$73,MATCH($A25,'Team Ratings'!$A$2:$A$73,0)),"")</f>
        <v>54.7</v>
      </c>
      <c r="K25" s="7">
        <f t="array" ref="K25">IFERROR(INDEX('Team Ratings'!$I$2:$I$73,MATCH($A25,'Team Ratings'!$A$2:$A$73,0)),"")</f>
        <v>51.2</v>
      </c>
      <c r="L25" s="7">
        <f t="array" ref="L25">IFERROR(INDEX('Team Ratings'!$J$2:$J$73,MATCH($A25,'Team Ratings'!$A$2:$A$73,0)),"")</f>
        <v>15.3</v>
      </c>
      <c r="M25" s="7">
        <f t="array" ref="M25">IFERROR(INDEX('Team Ratings'!$K$2:$K$73,MATCH($A25,'Team Ratings'!$A$2:$A$73,0)),"")</f>
        <v>16.5</v>
      </c>
      <c r="N25" s="7">
        <f t="array" ref="N25">IFERROR(INDEX('Team Ratings'!$L$2:$L$73,MATCH($A25,'Team Ratings'!$A$2:$A$73,0)),"")</f>
        <v>34.6</v>
      </c>
      <c r="O25" s="7">
        <f t="array" ref="O25">IFERROR(INDEX('Team Ratings'!$M$2:$M$73,MATCH($A25,'Team Ratings'!$A$2:$A$73,0)),"")</f>
        <v>29.3</v>
      </c>
      <c r="P25" s="7">
        <f t="array" ref="P25">IFERROR(INDEX('Team Ratings'!$N$2:$N$73,MATCH($A25,'Team Ratings'!$A$2:$A$73,0)),"")</f>
        <v>34.200000000000003</v>
      </c>
      <c r="Q25" s="7">
        <f t="array" ref="Q25">IFERROR(INDEX('Team Ratings'!$O$2:$O$73,MATCH($A25,'Team Ratings'!$A$2:$A$73,0)),"")</f>
        <v>34.9</v>
      </c>
      <c r="R25" s="7">
        <f t="array" ref="R25">IFERROR(INDEX('Team Ratings'!$P$2:$P$73,MATCH($A25,'Team Ratings'!$A$2:$A$73,0)),"")</f>
        <v>35.299999999999997</v>
      </c>
      <c r="S25" s="11">
        <f t="array" ref="S25">IFERROR(INDEX('Team Ratings'!$Q$2:$Q$73,MATCH($A25,'Team Ratings'!$A$2:$A$73,0)),0)</f>
        <v>0</v>
      </c>
      <c r="T25" s="7">
        <f t="array" ref="T25">IFERROR(INDEX('Team Ratings'!$R$2:$R$73,MATCH($A25,'Team Ratings'!$A$2:$A$73,0)),"")</f>
        <v>124.7</v>
      </c>
      <c r="U25" s="7">
        <f t="array" ref="U25">IFERROR(INDEX('Team Ratings'!$S$2:$S$73,MATCH($A25,'Team Ratings'!$A$2:$A$73,0)),"")</f>
        <v>103.9</v>
      </c>
      <c r="V25" s="7">
        <f t="shared" si="0"/>
        <v>20.799999999999997</v>
      </c>
      <c r="W25" s="7">
        <f t="shared" si="1"/>
        <v>0.29999999999999716</v>
      </c>
      <c r="X25" s="7">
        <f t="shared" si="2"/>
        <v>20.574999999999999</v>
      </c>
      <c r="Y25" s="7">
        <f t="shared" si="3"/>
        <v>-1.1000000000000001</v>
      </c>
      <c r="Z25" s="7">
        <f t="shared" si="4"/>
        <v>1.2</v>
      </c>
      <c r="AA25" s="7">
        <f t="shared" si="5"/>
        <v>5.65</v>
      </c>
      <c r="AB25" s="7">
        <f t="shared" si="6"/>
        <v>4.8</v>
      </c>
      <c r="AC25" s="12">
        <f t="shared" si="7"/>
        <v>-0.1394</v>
      </c>
      <c r="AD25" s="5" t="str">
        <f t="shared" si="8"/>
        <v>BYU|Texas</v>
      </c>
      <c r="AE25" s="5" t="s">
        <v>162</v>
      </c>
      <c r="AF25" s="5" t="s">
        <v>146</v>
      </c>
      <c r="AG25" s="5" t="s">
        <v>123</v>
      </c>
      <c r="AH25" s="10" t="b">
        <f t="shared" si="9"/>
        <v>1</v>
      </c>
      <c r="AI25" s="5" t="str">
        <f t="array" ref="AI25">IFERROR(INDEX(Matchups!$N$2:$N$64,MATCH($AE25,Matchups!$A$2:$A$64,0)),"")</f>
        <v>BYU</v>
      </c>
      <c r="AJ25" s="7">
        <f t="array" ref="AJ25">IFERROR(INDEX(Matchups!$O$2:$O$64,MATCH($AE25,Matchups!$A$2:$A$64,0)),"")</f>
        <v>58.8</v>
      </c>
      <c r="AK25" s="5" t="str">
        <f t="array" ref="AK25">IFERROR(INDEX(Matchups!$T$2:$T$64,MATCH($AE25,Matchups!$A$2:$A$64,0)),"")</f>
        <v>ΔComposite=0.73; AdjNET Δ=6.8; 3PT Δ=-0.7; TO Δ=3.1; REB Δ=1.3</v>
      </c>
      <c r="AL25" s="5" t="str">
        <f t="array" ref="AL25">IFERROR(INDEX(Matchups!$P$2:$P$64,MATCH($AE25,Matchups!$A$2:$A$64,0)),"")</f>
        <v/>
      </c>
      <c r="AM25" s="5" t="str">
        <f t="shared" si="10"/>
        <v>Yes</v>
      </c>
      <c r="AN25" s="5" t="str">
        <f t="shared" si="11"/>
        <v>G39</v>
      </c>
      <c r="AO25" s="5" t="str">
        <f t="shared" si="12"/>
        <v>Team 1</v>
      </c>
    </row>
    <row r="26" spans="1:41" ht="20" customHeight="1" x14ac:dyDescent="0.2">
      <c r="A26" s="5" t="s">
        <v>29</v>
      </c>
      <c r="B26" s="10">
        <f t="array" ref="B26">IFERROR(INDEX('Team Ratings'!$B$2:$B$73,MATCH($A26,'Team Ratings'!$A$2:$A$73,0)),"")</f>
        <v>7</v>
      </c>
      <c r="C26" s="10" t="str">
        <f t="array" ref="C26">IFERROR(INDEX('Team Ratings'!$C$2:$C$73,MATCH($A26,'Team Ratings'!$A$2:$A$73,0)),"")</f>
        <v>East</v>
      </c>
      <c r="D26" s="5" t="s">
        <v>32</v>
      </c>
      <c r="E26" s="10">
        <f t="array" ref="E26">IFERROR(INDEX('Team Ratings'!$B$2:$B$73,MATCH($D26,'Team Ratings'!$A$2:$A$73,0)),"")</f>
        <v>10</v>
      </c>
      <c r="F26" s="6">
        <f t="array" ref="F26">IFERROR(INDEX('Team Ratings'!$D$2:$D$73,MATCH($A26,'Team Ratings'!$A$2:$A$73,0)),"")</f>
        <v>0.91069999999999995</v>
      </c>
      <c r="G26" s="7">
        <f t="array" ref="G26">IFERROR(INDEX('Team Ratings'!$E$2:$E$73,MATCH($A26,'Team Ratings'!$A$2:$A$73,0)),"")</f>
        <v>124.6</v>
      </c>
      <c r="H26" s="7">
        <f t="array" ref="H26">IFERROR(INDEX('Team Ratings'!$F$2:$F$73,MATCH($A26,'Team Ratings'!$A$2:$A$73,0)),"")</f>
        <v>101.8</v>
      </c>
      <c r="I26" s="7">
        <f t="array" ref="I26">IFERROR(INDEX('Team Ratings'!$G$2:$G$73,MATCH($A26,'Team Ratings'!$A$2:$A$73,0)),"")</f>
        <v>22.8</v>
      </c>
      <c r="J26" s="7">
        <f t="array" ref="J26">IFERROR(INDEX('Team Ratings'!$H$2:$H$73,MATCH($A26,'Team Ratings'!$A$2:$A$73,0)),"")</f>
        <v>53.9</v>
      </c>
      <c r="K26" s="7">
        <f t="array" ref="K26">IFERROR(INDEX('Team Ratings'!$I$2:$I$73,MATCH($A26,'Team Ratings'!$A$2:$A$73,0)),"")</f>
        <v>50.4</v>
      </c>
      <c r="L26" s="7">
        <f t="array" ref="L26">IFERROR(INDEX('Team Ratings'!$J$2:$J$73,MATCH($A26,'Team Ratings'!$A$2:$A$73,0)),"")</f>
        <v>13.4</v>
      </c>
      <c r="M26" s="7">
        <f t="array" ref="M26">IFERROR(INDEX('Team Ratings'!$K$2:$K$73,MATCH($A26,'Team Ratings'!$A$2:$A$73,0)),"")</f>
        <v>18.100000000000001</v>
      </c>
      <c r="N26" s="7">
        <f t="array" ref="N26">IFERROR(INDEX('Team Ratings'!$L$2:$L$73,MATCH($A26,'Team Ratings'!$A$2:$A$73,0)),"")</f>
        <v>31.1</v>
      </c>
      <c r="O26" s="7">
        <f t="array" ref="O26">IFERROR(INDEX('Team Ratings'!$M$2:$M$73,MATCH($A26,'Team Ratings'!$A$2:$A$73,0)),"")</f>
        <v>32.4</v>
      </c>
      <c r="P26" s="7">
        <f t="array" ref="P26">IFERROR(INDEX('Team Ratings'!$N$2:$N$73,MATCH($A26,'Team Ratings'!$A$2:$A$73,0)),"")</f>
        <v>33.1</v>
      </c>
      <c r="Q26" s="7">
        <f t="array" ref="Q26">IFERROR(INDEX('Team Ratings'!$O$2:$O$73,MATCH($A26,'Team Ratings'!$A$2:$A$73,0)),"")</f>
        <v>38.200000000000003</v>
      </c>
      <c r="R26" s="7">
        <f t="array" ref="R26">IFERROR(INDEX('Team Ratings'!$P$2:$P$73,MATCH($A26,'Team Ratings'!$A$2:$A$73,0)),"")</f>
        <v>31.8</v>
      </c>
      <c r="S26" s="11">
        <f t="array" ref="S26">IFERROR(INDEX('Team Ratings'!$Q$2:$Q$73,MATCH($A26,'Team Ratings'!$A$2:$A$73,0)),0)</f>
        <v>-1</v>
      </c>
      <c r="T26" s="7">
        <f t="array" ref="T26">IFERROR(INDEX('Team Ratings'!$R$2:$R$73,MATCH($A26,'Team Ratings'!$A$2:$A$73,0)),"")</f>
        <v>133.4</v>
      </c>
      <c r="U26" s="7">
        <f t="array" ref="U26">IFERROR(INDEX('Team Ratings'!$S$2:$S$73,MATCH($A26,'Team Ratings'!$A$2:$A$73,0)),"")</f>
        <v>96.4</v>
      </c>
      <c r="V26" s="7">
        <f t="shared" si="0"/>
        <v>37</v>
      </c>
      <c r="W26" s="7">
        <f t="shared" si="1"/>
        <v>14.2</v>
      </c>
      <c r="X26" s="7">
        <f t="shared" si="2"/>
        <v>26.35</v>
      </c>
      <c r="Y26" s="7">
        <f t="shared" si="3"/>
        <v>4.2</v>
      </c>
      <c r="Z26" s="7">
        <f t="shared" si="4"/>
        <v>2.4</v>
      </c>
      <c r="AA26" s="7">
        <f t="shared" si="5"/>
        <v>5.3</v>
      </c>
      <c r="AB26" s="7">
        <f t="shared" si="6"/>
        <v>6.6</v>
      </c>
      <c r="AC26" s="12">
        <f t="shared" si="7"/>
        <v>0.70189999999999997</v>
      </c>
      <c r="AD26" s="5" t="str">
        <f t="shared" si="8"/>
        <v>UCF|UCLA</v>
      </c>
      <c r="AE26" s="5" t="s">
        <v>163</v>
      </c>
      <c r="AF26" s="5" t="s">
        <v>131</v>
      </c>
      <c r="AG26" s="5" t="s">
        <v>123</v>
      </c>
      <c r="AH26" s="10" t="b">
        <f t="shared" si="9"/>
        <v>1</v>
      </c>
      <c r="AI26" s="5" t="str">
        <f t="array" ref="AI26">IFERROR(INDEX(Matchups!$N$2:$N$64,MATCH($AE26,Matchups!$A$2:$A$64,0)),"")</f>
        <v>UCLA</v>
      </c>
      <c r="AJ26" s="7">
        <f t="array" ref="AJ26">IFERROR(INDEX(Matchups!$O$2:$O$64,MATCH($AE26,Matchups!$A$2:$A$64,0)),"")</f>
        <v>63.8</v>
      </c>
      <c r="AK26" s="5" t="str">
        <f t="array" ref="AK26">IFERROR(INDEX(Matchups!$T$2:$T$64,MATCH($AE26,Matchups!$A$2:$A$64,0)),"")</f>
        <v>ΔComposite=1.15; AdjNET Δ=15; 3PT Δ=-0.2; TO Δ=0; REB Δ=0.6</v>
      </c>
      <c r="AL26" s="5" t="str">
        <f t="array" ref="AL26">IFERROR(INDEX(Matchups!$P$2:$P$64,MATCH($AE26,Matchups!$A$2:$A$64,0)),"")</f>
        <v/>
      </c>
      <c r="AM26" s="5" t="str">
        <f t="shared" si="10"/>
        <v>Yes</v>
      </c>
      <c r="AN26" s="5" t="str">
        <f t="shared" si="11"/>
        <v>G36</v>
      </c>
      <c r="AO26" s="5" t="str">
        <f t="shared" si="12"/>
        <v>Team 1</v>
      </c>
    </row>
    <row r="27" spans="1:41" ht="20" customHeight="1" x14ac:dyDescent="0.2">
      <c r="A27" s="5" t="s">
        <v>85</v>
      </c>
      <c r="B27" s="10">
        <f t="array" ref="B27">IFERROR(INDEX('Team Ratings'!$B$2:$B$73,MATCH($A27,'Team Ratings'!$A$2:$A$73,0)),"")</f>
        <v>7</v>
      </c>
      <c r="C27" s="10" t="str">
        <f t="array" ref="C27">IFERROR(INDEX('Team Ratings'!$C$2:$C$73,MATCH($A27,'Team Ratings'!$A$2:$A$73,0)),"")</f>
        <v>Midwest</v>
      </c>
      <c r="D27" s="5" t="s">
        <v>88</v>
      </c>
      <c r="E27" s="10">
        <f t="array" ref="E27">IFERROR(INDEX('Team Ratings'!$B$2:$B$73,MATCH($D27,'Team Ratings'!$A$2:$A$73,0)),"")</f>
        <v>10</v>
      </c>
      <c r="F27" s="6">
        <f t="array" ref="F27">IFERROR(INDEX('Team Ratings'!$D$2:$D$73,MATCH($A27,'Team Ratings'!$A$2:$A$73,0)),"")</f>
        <v>0.89</v>
      </c>
      <c r="G27" s="7">
        <f t="array" ref="G27">IFERROR(INDEX('Team Ratings'!$E$2:$E$73,MATCH($A27,'Team Ratings'!$A$2:$A$73,0)),"")</f>
        <v>119.9</v>
      </c>
      <c r="H27" s="7">
        <f t="array" ref="H27">IFERROR(INDEX('Team Ratings'!$F$2:$F$73,MATCH($A27,'Team Ratings'!$A$2:$A$73,0)),"")</f>
        <v>100</v>
      </c>
      <c r="I27" s="7">
        <f t="array" ref="I27">IFERROR(INDEX('Team Ratings'!$G$2:$G$73,MATCH($A27,'Team Ratings'!$A$2:$A$73,0)),"")</f>
        <v>19.899999999999999</v>
      </c>
      <c r="J27" s="7">
        <f t="array" ref="J27">IFERROR(INDEX('Team Ratings'!$H$2:$H$73,MATCH($A27,'Team Ratings'!$A$2:$A$73,0)),"")</f>
        <v>53.1</v>
      </c>
      <c r="K27" s="7">
        <f t="array" ref="K27">IFERROR(INDEX('Team Ratings'!$I$2:$I$73,MATCH($A27,'Team Ratings'!$A$2:$A$73,0)),"")</f>
        <v>48.8</v>
      </c>
      <c r="L27" s="7">
        <f t="array" ref="L27">IFERROR(INDEX('Team Ratings'!$J$2:$J$73,MATCH($A27,'Team Ratings'!$A$2:$A$73,0)),"")</f>
        <v>15</v>
      </c>
      <c r="M27" s="7">
        <f t="array" ref="M27">IFERROR(INDEX('Team Ratings'!$K$2:$K$73,MATCH($A27,'Team Ratings'!$A$2:$A$73,0)),"")</f>
        <v>15.8</v>
      </c>
      <c r="N27" s="7">
        <f t="array" ref="N27">IFERROR(INDEX('Team Ratings'!$L$2:$L$73,MATCH($A27,'Team Ratings'!$A$2:$A$73,0)),"")</f>
        <v>33.799999999999997</v>
      </c>
      <c r="O27" s="7">
        <f t="array" ref="O27">IFERROR(INDEX('Team Ratings'!$M$2:$M$73,MATCH($A27,'Team Ratings'!$A$2:$A$73,0)),"")</f>
        <v>30.1</v>
      </c>
      <c r="P27" s="7">
        <f t="array" ref="P27">IFERROR(INDEX('Team Ratings'!$N$2:$N$73,MATCH($A27,'Team Ratings'!$A$2:$A$73,0)),"")</f>
        <v>37.5</v>
      </c>
      <c r="Q27" s="7">
        <f t="array" ref="Q27">IFERROR(INDEX('Team Ratings'!$O$2:$O$73,MATCH($A27,'Team Ratings'!$A$2:$A$73,0)),"")</f>
        <v>34.1</v>
      </c>
      <c r="R27" s="7">
        <f t="array" ref="R27">IFERROR(INDEX('Team Ratings'!$P$2:$P$73,MATCH($A27,'Team Ratings'!$A$2:$A$73,0)),"")</f>
        <v>31.6</v>
      </c>
      <c r="S27" s="11">
        <f t="array" ref="S27">IFERROR(INDEX('Team Ratings'!$Q$2:$Q$73,MATCH($A27,'Team Ratings'!$A$2:$A$73,0)),0)</f>
        <v>-1</v>
      </c>
      <c r="T27" s="7">
        <f t="array" ref="T27">IFERROR(INDEX('Team Ratings'!$R$2:$R$73,MATCH($A27,'Team Ratings'!$A$2:$A$73,0)),"")</f>
        <v>118</v>
      </c>
      <c r="U27" s="7">
        <f t="array" ref="U27">IFERROR(INDEX('Team Ratings'!$S$2:$S$73,MATCH($A27,'Team Ratings'!$A$2:$A$73,0)),"")</f>
        <v>101.6</v>
      </c>
      <c r="V27" s="7">
        <f t="shared" si="0"/>
        <v>16.400000000000006</v>
      </c>
      <c r="W27" s="7">
        <f t="shared" si="1"/>
        <v>-3.4999999999999929</v>
      </c>
      <c r="X27" s="7">
        <f t="shared" si="2"/>
        <v>19.024999999999999</v>
      </c>
      <c r="Y27" s="7">
        <f t="shared" si="3"/>
        <v>1.1000000000000001</v>
      </c>
      <c r="Z27" s="7">
        <f t="shared" si="4"/>
        <v>0.2</v>
      </c>
      <c r="AA27" s="7">
        <f t="shared" si="5"/>
        <v>2.4500000000000002</v>
      </c>
      <c r="AB27" s="7">
        <f t="shared" si="6"/>
        <v>4.38</v>
      </c>
      <c r="AC27" s="12">
        <f t="shared" si="7"/>
        <v>-0.37330000000000002</v>
      </c>
      <c r="AD27" s="5" t="str">
        <f t="shared" si="8"/>
        <v>Kentucky|Santa Clara</v>
      </c>
      <c r="AE27" s="5" t="s">
        <v>164</v>
      </c>
      <c r="AF27" s="5" t="s">
        <v>134</v>
      </c>
      <c r="AG27" s="5" t="s">
        <v>123</v>
      </c>
      <c r="AH27" s="10" t="b">
        <f t="shared" si="9"/>
        <v>1</v>
      </c>
      <c r="AI27" s="5" t="str">
        <f t="array" ref="AI27">IFERROR(INDEX(Matchups!$N$2:$N$64,MATCH($AE27,Matchups!$A$2:$A$64,0)),"")</f>
        <v>Santa Clara</v>
      </c>
      <c r="AJ27" s="7">
        <f t="array" ref="AJ27">IFERROR(INDEX(Matchups!$O$2:$O$64,MATCH($AE27,Matchups!$A$2:$A$64,0)),"")</f>
        <v>60.5</v>
      </c>
      <c r="AK27" s="5" t="str">
        <f t="array" ref="AK27">IFERROR(INDEX(Matchups!$T$2:$T$64,MATCH($AE27,Matchups!$A$2:$A$64,0)),"")</f>
        <v>ΔComposite=0.88; AdjNET Δ=3.4; 3PT Δ=2.2; TO Δ=4.9; REB Δ=5.1</v>
      </c>
      <c r="AL27" s="5" t="str">
        <f t="array" ref="AL27">IFERROR(INDEX(Matchups!$P$2:$P$64,MATCH($AE27,Matchups!$A$2:$A$64,0)),"")</f>
        <v>UPSET</v>
      </c>
      <c r="AM27" s="5" t="str">
        <f t="shared" si="10"/>
        <v>No</v>
      </c>
      <c r="AN27" s="5" t="str">
        <f t="shared" si="11"/>
        <v/>
      </c>
      <c r="AO27" s="5" t="str">
        <f t="shared" si="12"/>
        <v/>
      </c>
    </row>
    <row r="28" spans="1:41" ht="20" customHeight="1" x14ac:dyDescent="0.2">
      <c r="A28" s="5" t="s">
        <v>66</v>
      </c>
      <c r="B28" s="10">
        <f t="array" ref="B28">IFERROR(INDEX('Team Ratings'!$B$2:$B$73,MATCH($A28,'Team Ratings'!$A$2:$A$73,0)),"")</f>
        <v>7</v>
      </c>
      <c r="C28" s="10" t="str">
        <f t="array" ref="C28">IFERROR(INDEX('Team Ratings'!$C$2:$C$73,MATCH($A28,'Team Ratings'!$A$2:$A$73,0)),"")</f>
        <v>South</v>
      </c>
      <c r="D28" s="5" t="s">
        <v>69</v>
      </c>
      <c r="E28" s="10">
        <f t="array" ref="E28">IFERROR(INDEX('Team Ratings'!$B$2:$B$73,MATCH($D28,'Team Ratings'!$A$2:$A$73,0)),"")</f>
        <v>10</v>
      </c>
      <c r="F28" s="6">
        <f t="array" ref="F28">IFERROR(INDEX('Team Ratings'!$D$2:$D$73,MATCH($A28,'Team Ratings'!$A$2:$A$73,0)),"")</f>
        <v>0.91059999999999997</v>
      </c>
      <c r="G28" s="7">
        <f t="array" ref="G28">IFERROR(INDEX('Team Ratings'!$E$2:$E$73,MATCH($A28,'Team Ratings'!$A$2:$A$73,0)),"")</f>
        <v>119.4</v>
      </c>
      <c r="H28" s="7">
        <f t="array" ref="H28">IFERROR(INDEX('Team Ratings'!$F$2:$F$73,MATCH($A28,'Team Ratings'!$A$2:$A$73,0)),"")</f>
        <v>97.5</v>
      </c>
      <c r="I28" s="7">
        <f t="array" ref="I28">IFERROR(INDEX('Team Ratings'!$G$2:$G$73,MATCH($A28,'Team Ratings'!$A$2:$A$73,0)),"")</f>
        <v>21.9</v>
      </c>
      <c r="J28" s="7">
        <f t="array" ref="J28">IFERROR(INDEX('Team Ratings'!$H$2:$H$73,MATCH($A28,'Team Ratings'!$A$2:$A$73,0)),"")</f>
        <v>52.9</v>
      </c>
      <c r="K28" s="7">
        <f t="array" ref="K28">IFERROR(INDEX('Team Ratings'!$I$2:$I$73,MATCH($A28,'Team Ratings'!$A$2:$A$73,0)),"")</f>
        <v>46.7</v>
      </c>
      <c r="L28" s="7">
        <f t="array" ref="L28">IFERROR(INDEX('Team Ratings'!$J$2:$J$73,MATCH($A28,'Team Ratings'!$A$2:$A$73,0)),"")</f>
        <v>16.399999999999999</v>
      </c>
      <c r="M28" s="7">
        <f t="array" ref="M28">IFERROR(INDEX('Team Ratings'!$K$2:$K$73,MATCH($A28,'Team Ratings'!$A$2:$A$73,0)),"")</f>
        <v>15.2</v>
      </c>
      <c r="N28" s="7">
        <f t="array" ref="N28">IFERROR(INDEX('Team Ratings'!$L$2:$L$73,MATCH($A28,'Team Ratings'!$A$2:$A$73,0)),"")</f>
        <v>37.6</v>
      </c>
      <c r="O28" s="7">
        <f t="array" ref="O28">IFERROR(INDEX('Team Ratings'!$M$2:$M$73,MATCH($A28,'Team Ratings'!$A$2:$A$73,0)),"")</f>
        <v>23.8</v>
      </c>
      <c r="P28" s="7">
        <f t="array" ref="P28">IFERROR(INDEX('Team Ratings'!$N$2:$N$73,MATCH($A28,'Team Ratings'!$A$2:$A$73,0)),"")</f>
        <v>35.799999999999997</v>
      </c>
      <c r="Q28" s="7">
        <f t="array" ref="Q28">IFERROR(INDEX('Team Ratings'!$O$2:$O$73,MATCH($A28,'Team Ratings'!$A$2:$A$73,0)),"")</f>
        <v>38.6</v>
      </c>
      <c r="R28" s="7">
        <f t="array" ref="R28">IFERROR(INDEX('Team Ratings'!$P$2:$P$73,MATCH($A28,'Team Ratings'!$A$2:$A$73,0)),"")</f>
        <v>31.2</v>
      </c>
      <c r="S28" s="11">
        <f t="array" ref="S28">IFERROR(INDEX('Team Ratings'!$Q$2:$Q$73,MATCH($A28,'Team Ratings'!$A$2:$A$73,0)),0)</f>
        <v>0</v>
      </c>
      <c r="T28" s="7">
        <f t="array" ref="T28">IFERROR(INDEX('Team Ratings'!$R$2:$R$73,MATCH($A28,'Team Ratings'!$A$2:$A$73,0)),"")</f>
        <v>122.4</v>
      </c>
      <c r="U28" s="7">
        <f t="array" ref="U28">IFERROR(INDEX('Team Ratings'!$S$2:$S$73,MATCH($A28,'Team Ratings'!$A$2:$A$73,0)),"")</f>
        <v>105.8</v>
      </c>
      <c r="V28" s="7">
        <f t="shared" si="0"/>
        <v>16.600000000000009</v>
      </c>
      <c r="W28" s="7">
        <f t="shared" si="1"/>
        <v>-5.2999999999999901</v>
      </c>
      <c r="X28" s="7">
        <f t="shared" si="2"/>
        <v>20.574999999999999</v>
      </c>
      <c r="Y28" s="7">
        <f t="shared" si="3"/>
        <v>6.9</v>
      </c>
      <c r="Z28" s="7">
        <f t="shared" si="4"/>
        <v>0.6</v>
      </c>
      <c r="AA28" s="7">
        <f t="shared" si="5"/>
        <v>3.3</v>
      </c>
      <c r="AB28" s="7">
        <f t="shared" si="6"/>
        <v>4.05</v>
      </c>
      <c r="AC28" s="12">
        <f t="shared" si="7"/>
        <v>0.1129</v>
      </c>
      <c r="AD28" s="5" t="str">
        <f t="shared" si="8"/>
        <v>Saint Mary's|Texas A&amp;M</v>
      </c>
      <c r="AE28" s="5" t="s">
        <v>165</v>
      </c>
      <c r="AF28" s="5" t="s">
        <v>136</v>
      </c>
      <c r="AG28" s="5" t="s">
        <v>123</v>
      </c>
      <c r="AH28" s="10" t="b">
        <f t="shared" si="9"/>
        <v>1</v>
      </c>
      <c r="AI28" s="5" t="str">
        <f t="array" ref="AI28">IFERROR(INDEX(Matchups!$N$2:$N$64,MATCH($AE28,Matchups!$A$2:$A$64,0)),"")</f>
        <v>Saint Mary's</v>
      </c>
      <c r="AJ28" s="7">
        <f t="array" ref="AJ28">IFERROR(INDEX(Matchups!$O$2:$O$64,MATCH($AE28,Matchups!$A$2:$A$64,0)),"")</f>
        <v>52.1</v>
      </c>
      <c r="AK28" s="5" t="str">
        <f t="array" ref="AK28">IFERROR(INDEX(Matchups!$T$2:$T$64,MATCH($AE28,Matchups!$A$2:$A$64,0)),"")</f>
        <v>ΔComposite=0.17; AdjNET Δ=-4.2; 3PT Δ=-1.9; TO Δ=1.3; REB Δ=3.4</v>
      </c>
      <c r="AL28" s="5" t="str">
        <f t="array" ref="AL28">IFERROR(INDEX(Matchups!$P$2:$P$64,MATCH($AE28,Matchups!$A$2:$A$64,0)),"")</f>
        <v/>
      </c>
      <c r="AM28" s="5" t="str">
        <f t="shared" si="10"/>
        <v>Yes</v>
      </c>
      <c r="AN28" s="5" t="str">
        <f t="shared" si="11"/>
        <v>G44</v>
      </c>
      <c r="AO28" s="5" t="str">
        <f t="shared" si="12"/>
        <v>Team 1</v>
      </c>
    </row>
    <row r="29" spans="1:41" ht="20" customHeight="1" x14ac:dyDescent="0.2">
      <c r="A29" s="5" t="s">
        <v>46</v>
      </c>
      <c r="B29" s="10">
        <f t="array" ref="B29">IFERROR(INDEX('Team Ratings'!$B$2:$B$73,MATCH($A29,'Team Ratings'!$A$2:$A$73,0)),"")</f>
        <v>7</v>
      </c>
      <c r="C29" s="10" t="str">
        <f t="array" ref="C29">IFERROR(INDEX('Team Ratings'!$C$2:$C$73,MATCH($A29,'Team Ratings'!$A$2:$A$73,0)),"")</f>
        <v>West</v>
      </c>
      <c r="D29" s="5" t="s">
        <v>49</v>
      </c>
      <c r="E29" s="10">
        <f t="array" ref="E29">IFERROR(INDEX('Team Ratings'!$B$2:$B$73,MATCH($D29,'Team Ratings'!$A$2:$A$73,0)),"")</f>
        <v>10</v>
      </c>
      <c r="F29" s="6">
        <f t="array" ref="F29">IFERROR(INDEX('Team Ratings'!$D$2:$D$73,MATCH($A29,'Team Ratings'!$A$2:$A$73,0)),"")</f>
        <v>0.88439999999999996</v>
      </c>
      <c r="G29" s="7">
        <f t="array" ref="G29">IFERROR(INDEX('Team Ratings'!$E$2:$E$73,MATCH($A29,'Team Ratings'!$A$2:$A$73,0)),"")</f>
        <v>121.1</v>
      </c>
      <c r="H29" s="7">
        <f t="array" ref="H29">IFERROR(INDEX('Team Ratings'!$F$2:$F$73,MATCH($A29,'Team Ratings'!$A$2:$A$73,0)),"")</f>
        <v>101.5</v>
      </c>
      <c r="I29" s="7">
        <f t="array" ref="I29">IFERROR(INDEX('Team Ratings'!$G$2:$G$73,MATCH($A29,'Team Ratings'!$A$2:$A$73,0)),"")</f>
        <v>19.600000000000001</v>
      </c>
      <c r="J29" s="7">
        <f t="array" ref="J29">IFERROR(INDEX('Team Ratings'!$H$2:$H$73,MATCH($A29,'Team Ratings'!$A$2:$A$73,0)),"")</f>
        <v>55.6</v>
      </c>
      <c r="K29" s="7">
        <f t="array" ref="K29">IFERROR(INDEX('Team Ratings'!$I$2:$I$73,MATCH($A29,'Team Ratings'!$A$2:$A$73,0)),"")</f>
        <v>51.7</v>
      </c>
      <c r="L29" s="7">
        <f t="array" ref="L29">IFERROR(INDEX('Team Ratings'!$J$2:$J$73,MATCH($A29,'Team Ratings'!$A$2:$A$73,0)),"")</f>
        <v>16.2</v>
      </c>
      <c r="M29" s="7">
        <f t="array" ref="M29">IFERROR(INDEX('Team Ratings'!$K$2:$K$73,MATCH($A29,'Team Ratings'!$A$2:$A$73,0)),"")</f>
        <v>18.399999999999999</v>
      </c>
      <c r="N29" s="7">
        <f t="array" ref="N29">IFERROR(INDEX('Team Ratings'!$L$2:$L$73,MATCH($A29,'Team Ratings'!$A$2:$A$73,0)),"")</f>
        <v>37</v>
      </c>
      <c r="O29" s="7">
        <f t="array" ref="O29">IFERROR(INDEX('Team Ratings'!$M$2:$M$73,MATCH($A29,'Team Ratings'!$A$2:$A$73,0)),"")</f>
        <v>26.3</v>
      </c>
      <c r="P29" s="7">
        <f t="array" ref="P29">IFERROR(INDEX('Team Ratings'!$N$2:$N$73,MATCH($A29,'Team Ratings'!$A$2:$A$73,0)),"")</f>
        <v>37.5</v>
      </c>
      <c r="Q29" s="7">
        <f t="array" ref="Q29">IFERROR(INDEX('Team Ratings'!$O$2:$O$73,MATCH($A29,'Team Ratings'!$A$2:$A$73,0)),"")</f>
        <v>34.700000000000003</v>
      </c>
      <c r="R29" s="7">
        <f t="array" ref="R29">IFERROR(INDEX('Team Ratings'!$P$2:$P$73,MATCH($A29,'Team Ratings'!$A$2:$A$73,0)),"")</f>
        <v>35.4</v>
      </c>
      <c r="S29" s="11">
        <f t="array" ref="S29">IFERROR(INDEX('Team Ratings'!$Q$2:$Q$73,MATCH($A29,'Team Ratings'!$A$2:$A$73,0)),0)</f>
        <v>0</v>
      </c>
      <c r="T29" s="7">
        <f t="array" ref="T29">IFERROR(INDEX('Team Ratings'!$R$2:$R$73,MATCH($A29,'Team Ratings'!$A$2:$A$73,0)),"")</f>
        <v>127.3</v>
      </c>
      <c r="U29" s="7">
        <f t="array" ref="U29">IFERROR(INDEX('Team Ratings'!$S$2:$S$73,MATCH($A29,'Team Ratings'!$A$2:$A$73,0)),"")</f>
        <v>106.7</v>
      </c>
      <c r="V29" s="7">
        <f t="shared" si="0"/>
        <v>20.599999999999994</v>
      </c>
      <c r="W29" s="7">
        <f t="shared" si="1"/>
        <v>0.99999999999999289</v>
      </c>
      <c r="X29" s="7">
        <f t="shared" si="2"/>
        <v>19.850000000000001</v>
      </c>
      <c r="Y29" s="7">
        <f t="shared" si="3"/>
        <v>-1.8</v>
      </c>
      <c r="Z29" s="7">
        <f t="shared" si="4"/>
        <v>0.4</v>
      </c>
      <c r="AA29" s="7">
        <f t="shared" si="5"/>
        <v>3.2</v>
      </c>
      <c r="AB29" s="7">
        <f t="shared" si="6"/>
        <v>4.58</v>
      </c>
      <c r="AC29" s="12">
        <f t="shared" si="7"/>
        <v>-0.30819999999999997</v>
      </c>
      <c r="AD29" s="5" t="str">
        <f t="shared" si="8"/>
        <v>Miami FL|Missouri</v>
      </c>
      <c r="AE29" s="5" t="s">
        <v>166</v>
      </c>
      <c r="AF29" s="5" t="s">
        <v>138</v>
      </c>
      <c r="AG29" s="5" t="s">
        <v>123</v>
      </c>
      <c r="AH29" s="10" t="b">
        <f t="shared" si="9"/>
        <v>1</v>
      </c>
      <c r="AI29" s="5" t="str">
        <f t="array" ref="AI29">IFERROR(INDEX(Matchups!$N$2:$N$64,MATCH($AE29,Matchups!$A$2:$A$64,0)),"")</f>
        <v>Miami FL</v>
      </c>
      <c r="AJ29" s="7">
        <f t="array" ref="AJ29">IFERROR(INDEX(Matchups!$O$2:$O$64,MATCH($AE29,Matchups!$A$2:$A$64,0)),"")</f>
        <v>53.1</v>
      </c>
      <c r="AK29" s="5" t="str">
        <f t="array" ref="AK29">IFERROR(INDEX(Matchups!$T$2:$T$64,MATCH($AE29,Matchups!$A$2:$A$64,0)),"")</f>
        <v>ΔComposite=0.26; AdjNET Δ=5.5; 3PT Δ=-1.4; TO Δ=0; REB Δ=-3.6</v>
      </c>
      <c r="AL29" s="5" t="str">
        <f t="array" ref="AL29">IFERROR(INDEX(Matchups!$P$2:$P$64,MATCH($AE29,Matchups!$A$2:$A$64,0)),"")</f>
        <v/>
      </c>
      <c r="AM29" s="5" t="str">
        <f t="shared" si="10"/>
        <v>Yes</v>
      </c>
      <c r="AN29" s="5" t="str">
        <f t="shared" si="11"/>
        <v>G40</v>
      </c>
      <c r="AO29" s="5" t="str">
        <f t="shared" si="12"/>
        <v>Team 1</v>
      </c>
    </row>
    <row r="30" spans="1:41" ht="20" customHeight="1" x14ac:dyDescent="0.2">
      <c r="A30" s="5" t="s">
        <v>30</v>
      </c>
      <c r="B30" s="10">
        <f t="array" ref="B30">IFERROR(INDEX('Team Ratings'!$B$2:$B$73,MATCH($A30,'Team Ratings'!$A$2:$A$73,0)),"")</f>
        <v>8</v>
      </c>
      <c r="C30" s="10" t="str">
        <f t="array" ref="C30">IFERROR(INDEX('Team Ratings'!$C$2:$C$73,MATCH($A30,'Team Ratings'!$A$2:$A$73,0)),"")</f>
        <v>East</v>
      </c>
      <c r="D30" s="5" t="s">
        <v>31</v>
      </c>
      <c r="E30" s="10">
        <f t="array" ref="E30">IFERROR(INDEX('Team Ratings'!$B$2:$B$73,MATCH($D30,'Team Ratings'!$A$2:$A$73,0)),"")</f>
        <v>9</v>
      </c>
      <c r="F30" s="6">
        <f t="array" ref="F30">IFERROR(INDEX('Team Ratings'!$D$2:$D$73,MATCH($A30,'Team Ratings'!$A$2:$A$73,0)),"")</f>
        <v>0.91720000000000002</v>
      </c>
      <c r="G30" s="7">
        <f t="array" ref="G30">IFERROR(INDEX('Team Ratings'!$E$2:$E$73,MATCH($A30,'Team Ratings'!$A$2:$A$73,0)),"")</f>
        <v>125.2</v>
      </c>
      <c r="H30" s="7">
        <f t="array" ref="H30">IFERROR(INDEX('Team Ratings'!$F$2:$F$73,MATCH($A30,'Team Ratings'!$A$2:$A$73,0)),"")</f>
        <v>101.6</v>
      </c>
      <c r="I30" s="7">
        <f t="array" ref="I30">IFERROR(INDEX('Team Ratings'!$G$2:$G$73,MATCH($A30,'Team Ratings'!$A$2:$A$73,0)),"")</f>
        <v>23.6</v>
      </c>
      <c r="J30" s="7">
        <f t="array" ref="J30">IFERROR(INDEX('Team Ratings'!$H$2:$H$73,MATCH($A30,'Team Ratings'!$A$2:$A$73,0)),"")</f>
        <v>56.5</v>
      </c>
      <c r="K30" s="7">
        <f t="array" ref="K30">IFERROR(INDEX('Team Ratings'!$I$2:$I$73,MATCH($A30,'Team Ratings'!$A$2:$A$73,0)),"")</f>
        <v>50.3</v>
      </c>
      <c r="L30" s="7">
        <f t="array" ref="L30">IFERROR(INDEX('Team Ratings'!$J$2:$J$73,MATCH($A30,'Team Ratings'!$A$2:$A$73,0)),"")</f>
        <v>15.4</v>
      </c>
      <c r="M30" s="7">
        <f t="array" ref="M30">IFERROR(INDEX('Team Ratings'!$K$2:$K$73,MATCH($A30,'Team Ratings'!$A$2:$A$73,0)),"")</f>
        <v>15.8</v>
      </c>
      <c r="N30" s="7">
        <f t="array" ref="N30">IFERROR(INDEX('Team Ratings'!$L$2:$L$73,MATCH($A30,'Team Ratings'!$A$2:$A$73,0)),"")</f>
        <v>30.8</v>
      </c>
      <c r="O30" s="7">
        <f t="array" ref="O30">IFERROR(INDEX('Team Ratings'!$M$2:$M$73,MATCH($A30,'Team Ratings'!$A$2:$A$73,0)),"")</f>
        <v>30</v>
      </c>
      <c r="P30" s="7">
        <f t="array" ref="P30">IFERROR(INDEX('Team Ratings'!$N$2:$N$73,MATCH($A30,'Team Ratings'!$A$2:$A$73,0)),"")</f>
        <v>37.799999999999997</v>
      </c>
      <c r="Q30" s="7">
        <f t="array" ref="Q30">IFERROR(INDEX('Team Ratings'!$O$2:$O$73,MATCH($A30,'Team Ratings'!$A$2:$A$73,0)),"")</f>
        <v>36</v>
      </c>
      <c r="R30" s="7">
        <f t="array" ref="R30">IFERROR(INDEX('Team Ratings'!$P$2:$P$73,MATCH($A30,'Team Ratings'!$A$2:$A$73,0)),"")</f>
        <v>31.6</v>
      </c>
      <c r="S30" s="11">
        <f t="array" ref="S30">IFERROR(INDEX('Team Ratings'!$Q$2:$Q$73,MATCH($A30,'Team Ratings'!$A$2:$A$73,0)),0)</f>
        <v>0</v>
      </c>
      <c r="T30" s="7">
        <f t="array" ref="T30">IFERROR(INDEX('Team Ratings'!$R$2:$R$73,MATCH($A30,'Team Ratings'!$A$2:$A$73,0)),"")</f>
        <v>136.6</v>
      </c>
      <c r="U30" s="7">
        <f t="array" ref="U30">IFERROR(INDEX('Team Ratings'!$S$2:$S$73,MATCH($A30,'Team Ratings'!$A$2:$A$73,0)),"")</f>
        <v>98.2</v>
      </c>
      <c r="V30" s="7">
        <f t="shared" si="0"/>
        <v>38.399999999999991</v>
      </c>
      <c r="W30" s="7">
        <f t="shared" si="1"/>
        <v>14.79999999999999</v>
      </c>
      <c r="X30" s="7">
        <f t="shared" si="2"/>
        <v>27.3</v>
      </c>
      <c r="Y30" s="7">
        <f t="shared" si="3"/>
        <v>2.2999999999999998</v>
      </c>
      <c r="Z30" s="7">
        <f t="shared" si="4"/>
        <v>0.3</v>
      </c>
      <c r="AA30" s="7">
        <f t="shared" si="5"/>
        <v>3.6</v>
      </c>
      <c r="AB30" s="7">
        <f t="shared" si="6"/>
        <v>6.5</v>
      </c>
      <c r="AC30" s="12">
        <f t="shared" si="7"/>
        <v>0.57189999999999996</v>
      </c>
      <c r="AD30" s="5" t="str">
        <f t="shared" si="8"/>
        <v>Ohio St.|TCU</v>
      </c>
      <c r="AE30" s="5" t="s">
        <v>167</v>
      </c>
      <c r="AF30" s="5" t="s">
        <v>122</v>
      </c>
      <c r="AG30" s="5" t="s">
        <v>132</v>
      </c>
      <c r="AH30" s="10" t="b">
        <f t="shared" si="9"/>
        <v>1</v>
      </c>
      <c r="AI30" s="5" t="str">
        <f t="array" ref="AI30">IFERROR(INDEX(Matchups!$N$2:$N$64,MATCH($AE30,Matchups!$A$2:$A$64,0)),"")</f>
        <v>Ohio St.</v>
      </c>
      <c r="AJ30" s="7">
        <f t="array" ref="AJ30">IFERROR(INDEX(Matchups!$O$2:$O$64,MATCH($AE30,Matchups!$A$2:$A$64,0)),"")</f>
        <v>53.1</v>
      </c>
      <c r="AK30" s="5" t="str">
        <f t="array" ref="AK30">IFERROR(INDEX(Matchups!$T$2:$T$64,MATCH($AE30,Matchups!$A$2:$A$64,0)),"")</f>
        <v>ΔComposite=0.26; AdjNET Δ=-9.4; 3PT Δ=-0.8; TO Δ=4; REB Δ=2.8</v>
      </c>
      <c r="AL30" s="5" t="str">
        <f t="array" ref="AL30">IFERROR(INDEX(Matchups!$P$2:$P$64,MATCH($AE30,Matchups!$A$2:$A$64,0)),"")</f>
        <v/>
      </c>
      <c r="AM30" s="5" t="str">
        <f t="shared" si="10"/>
        <v>Yes</v>
      </c>
      <c r="AN30" s="5" t="str">
        <f t="shared" si="11"/>
        <v>G33</v>
      </c>
      <c r="AO30" s="5" t="str">
        <f t="shared" si="12"/>
        <v>Team 2</v>
      </c>
    </row>
    <row r="31" spans="1:41" ht="20" customHeight="1" x14ac:dyDescent="0.2">
      <c r="A31" s="5" t="s">
        <v>86</v>
      </c>
      <c r="B31" s="10">
        <f t="array" ref="B31">IFERROR(INDEX('Team Ratings'!$B$2:$B$73,MATCH($A31,'Team Ratings'!$A$2:$A$73,0)),"")</f>
        <v>8</v>
      </c>
      <c r="C31" s="10" t="str">
        <f t="array" ref="C31">IFERROR(INDEX('Team Ratings'!$C$2:$C$73,MATCH($A31,'Team Ratings'!$A$2:$A$73,0)),"")</f>
        <v>Midwest</v>
      </c>
      <c r="D31" s="5" t="s">
        <v>87</v>
      </c>
      <c r="E31" s="10">
        <f t="array" ref="E31">IFERROR(INDEX('Team Ratings'!$B$2:$B$73,MATCH($D31,'Team Ratings'!$A$2:$A$73,0)),"")</f>
        <v>9</v>
      </c>
      <c r="F31" s="6">
        <f t="array" ref="F31">IFERROR(INDEX('Team Ratings'!$D$2:$D$73,MATCH($A31,'Team Ratings'!$A$2:$A$73,0)),"")</f>
        <v>0.87770000000000004</v>
      </c>
      <c r="G31" s="7">
        <f t="array" ref="G31">IFERROR(INDEX('Team Ratings'!$E$2:$E$73,MATCH($A31,'Team Ratings'!$A$2:$A$73,0)),"")</f>
        <v>124.4</v>
      </c>
      <c r="H31" s="7">
        <f t="array" ref="H31">IFERROR(INDEX('Team Ratings'!$F$2:$F$73,MATCH($A31,'Team Ratings'!$A$2:$A$73,0)),"")</f>
        <v>104.8</v>
      </c>
      <c r="I31" s="7">
        <f t="array" ref="I31">IFERROR(INDEX('Team Ratings'!$G$2:$G$73,MATCH($A31,'Team Ratings'!$A$2:$A$73,0)),"")</f>
        <v>19.600000000000001</v>
      </c>
      <c r="J31" s="7">
        <f t="array" ref="J31">IFERROR(INDEX('Team Ratings'!$H$2:$H$73,MATCH($A31,'Team Ratings'!$A$2:$A$73,0)),"")</f>
        <v>54.6</v>
      </c>
      <c r="K31" s="7">
        <f t="array" ref="K31">IFERROR(INDEX('Team Ratings'!$I$2:$I$73,MATCH($A31,'Team Ratings'!$A$2:$A$73,0)),"")</f>
        <v>50.1</v>
      </c>
      <c r="L31" s="7">
        <f t="array" ref="L31">IFERROR(INDEX('Team Ratings'!$J$2:$J$73,MATCH($A31,'Team Ratings'!$A$2:$A$73,0)),"")</f>
        <v>14.3</v>
      </c>
      <c r="M31" s="7">
        <f t="array" ref="M31">IFERROR(INDEX('Team Ratings'!$K$2:$K$73,MATCH($A31,'Team Ratings'!$A$2:$A$73,0)),"")</f>
        <v>18.399999999999999</v>
      </c>
      <c r="N31" s="7">
        <f t="array" ref="N31">IFERROR(INDEX('Team Ratings'!$L$2:$L$73,MATCH($A31,'Team Ratings'!$A$2:$A$73,0)),"")</f>
        <v>35.200000000000003</v>
      </c>
      <c r="O31" s="7">
        <f t="array" ref="O31">IFERROR(INDEX('Team Ratings'!$M$2:$M$73,MATCH($A31,'Team Ratings'!$A$2:$A$73,0)),"")</f>
        <v>34.9</v>
      </c>
      <c r="P31" s="7">
        <f t="array" ref="P31">IFERROR(INDEX('Team Ratings'!$N$2:$N$73,MATCH($A31,'Team Ratings'!$A$2:$A$73,0)),"")</f>
        <v>37</v>
      </c>
      <c r="Q31" s="7">
        <f t="array" ref="Q31">IFERROR(INDEX('Team Ratings'!$O$2:$O$73,MATCH($A31,'Team Ratings'!$A$2:$A$73,0)),"")</f>
        <v>34.1</v>
      </c>
      <c r="R31" s="7">
        <f t="array" ref="R31">IFERROR(INDEX('Team Ratings'!$P$2:$P$73,MATCH($A31,'Team Ratings'!$A$2:$A$73,0)),"")</f>
        <v>33.700000000000003</v>
      </c>
      <c r="S31" s="11">
        <f t="array" ref="S31">IFERROR(INDEX('Team Ratings'!$Q$2:$Q$73,MATCH($A31,'Team Ratings'!$A$2:$A$73,0)),0)</f>
        <v>0</v>
      </c>
      <c r="T31" s="7">
        <f t="array" ref="T31">IFERROR(INDEX('Team Ratings'!$R$2:$R$73,MATCH($A31,'Team Ratings'!$A$2:$A$73,0)),"")</f>
        <v>123.4</v>
      </c>
      <c r="U31" s="7">
        <f t="array" ref="U31">IFERROR(INDEX('Team Ratings'!$S$2:$S$73,MATCH($A31,'Team Ratings'!$A$2:$A$73,0)),"")</f>
        <v>106.3</v>
      </c>
      <c r="V31" s="7">
        <f t="shared" si="0"/>
        <v>17.100000000000009</v>
      </c>
      <c r="W31" s="7">
        <f t="shared" si="1"/>
        <v>-2.4999999999999929</v>
      </c>
      <c r="X31" s="7">
        <f t="shared" si="2"/>
        <v>18.975000000000001</v>
      </c>
      <c r="Y31" s="7">
        <f t="shared" si="3"/>
        <v>4.0999999999999996</v>
      </c>
      <c r="Z31" s="7">
        <f t="shared" si="4"/>
        <v>1</v>
      </c>
      <c r="AA31" s="7">
        <f t="shared" si="5"/>
        <v>10</v>
      </c>
      <c r="AB31" s="7">
        <f t="shared" si="6"/>
        <v>4.58</v>
      </c>
      <c r="AC31" s="12">
        <f t="shared" si="7"/>
        <v>0.21210000000000001</v>
      </c>
      <c r="AD31" s="5" t="str">
        <f t="shared" si="8"/>
        <v>Georgia|Saint Louis</v>
      </c>
      <c r="AE31" s="5" t="s">
        <v>168</v>
      </c>
      <c r="AF31" s="5" t="s">
        <v>125</v>
      </c>
      <c r="AG31" s="5" t="s">
        <v>132</v>
      </c>
      <c r="AH31" s="10" t="b">
        <f t="shared" si="9"/>
        <v>1</v>
      </c>
      <c r="AI31" s="5" t="str">
        <f t="array" ref="AI31">IFERROR(INDEX(Matchups!$N$2:$N$64,MATCH($AE31,Matchups!$A$2:$A$64,0)),"")</f>
        <v>Georgia</v>
      </c>
      <c r="AJ31" s="7">
        <f t="array" ref="AJ31">IFERROR(INDEX(Matchups!$O$2:$O$64,MATCH($AE31,Matchups!$A$2:$A$64,0)),"")</f>
        <v>58.3</v>
      </c>
      <c r="AK31" s="5" t="str">
        <f t="array" ref="AK31">IFERROR(INDEX(Matchups!$T$2:$T$64,MATCH($AE31,Matchups!$A$2:$A$64,0)),"")</f>
        <v>ΔComposite=0.69; AdjNET Δ=5.6; 3PT Δ=-2.7; TO Δ=-0.8; REB Δ=10</v>
      </c>
      <c r="AL31" s="5" t="str">
        <f t="array" ref="AL31">IFERROR(INDEX(Matchups!$P$2:$P$64,MATCH($AE31,Matchups!$A$2:$A$64,0)),"")</f>
        <v/>
      </c>
      <c r="AM31" s="5" t="str">
        <f t="shared" si="10"/>
        <v>Yes</v>
      </c>
      <c r="AN31" s="5" t="str">
        <f t="shared" si="11"/>
        <v>G45</v>
      </c>
      <c r="AO31" s="5" t="str">
        <f t="shared" si="12"/>
        <v>Team 2</v>
      </c>
    </row>
    <row r="32" spans="1:41" ht="20" customHeight="1" x14ac:dyDescent="0.2">
      <c r="A32" s="5" t="s">
        <v>67</v>
      </c>
      <c r="B32" s="10">
        <f t="array" ref="B32">IFERROR(INDEX('Team Ratings'!$B$2:$B$73,MATCH($A32,'Team Ratings'!$A$2:$A$73,0)),"")</f>
        <v>8</v>
      </c>
      <c r="C32" s="10" t="str">
        <f t="array" ref="C32">IFERROR(INDEX('Team Ratings'!$C$2:$C$73,MATCH($A32,'Team Ratings'!$A$2:$A$73,0)),"")</f>
        <v>South</v>
      </c>
      <c r="D32" s="5" t="s">
        <v>68</v>
      </c>
      <c r="E32" s="10">
        <f t="array" ref="E32">IFERROR(INDEX('Team Ratings'!$B$2:$B$73,MATCH($D32,'Team Ratings'!$A$2:$A$73,0)),"")</f>
        <v>9</v>
      </c>
      <c r="F32" s="6">
        <f t="array" ref="F32">IFERROR(INDEX('Team Ratings'!$D$2:$D$73,MATCH($A32,'Team Ratings'!$A$2:$A$73,0)),"")</f>
        <v>0.8921</v>
      </c>
      <c r="G32" s="7">
        <f t="array" ref="G32">IFERROR(INDEX('Team Ratings'!$E$2:$E$73,MATCH($A32,'Team Ratings'!$A$2:$A$73,0)),"")</f>
        <v>116.6</v>
      </c>
      <c r="H32" s="7">
        <f t="array" ref="H32">IFERROR(INDEX('Team Ratings'!$F$2:$F$73,MATCH($A32,'Team Ratings'!$A$2:$A$73,0)),"")</f>
        <v>97</v>
      </c>
      <c r="I32" s="7">
        <f t="array" ref="I32">IFERROR(INDEX('Team Ratings'!$G$2:$G$73,MATCH($A32,'Team Ratings'!$A$2:$A$73,0)),"")</f>
        <v>19.600000000000001</v>
      </c>
      <c r="J32" s="7">
        <f t="array" ref="J32">IFERROR(INDEX('Team Ratings'!$H$2:$H$73,MATCH($A32,'Team Ratings'!$A$2:$A$73,0)),"")</f>
        <v>52.6</v>
      </c>
      <c r="K32" s="7">
        <f t="array" ref="K32">IFERROR(INDEX('Team Ratings'!$I$2:$I$73,MATCH($A32,'Team Ratings'!$A$2:$A$73,0)),"")</f>
        <v>48.9</v>
      </c>
      <c r="L32" s="7">
        <f t="array" ref="L32">IFERROR(INDEX('Team Ratings'!$J$2:$J$73,MATCH($A32,'Team Ratings'!$A$2:$A$73,0)),"")</f>
        <v>14.2</v>
      </c>
      <c r="M32" s="7">
        <f t="array" ref="M32">IFERROR(INDEX('Team Ratings'!$K$2:$K$73,MATCH($A32,'Team Ratings'!$A$2:$A$73,0)),"")</f>
        <v>17.5</v>
      </c>
      <c r="N32" s="7">
        <f t="array" ref="N32">IFERROR(INDEX('Team Ratings'!$L$2:$L$73,MATCH($A32,'Team Ratings'!$A$2:$A$73,0)),"")</f>
        <v>28.1</v>
      </c>
      <c r="O32" s="7">
        <f t="array" ref="O32">IFERROR(INDEX('Team Ratings'!$M$2:$M$73,MATCH($A32,'Team Ratings'!$A$2:$A$73,0)),"")</f>
        <v>25.7</v>
      </c>
      <c r="P32" s="7">
        <f t="array" ref="P32">IFERROR(INDEX('Team Ratings'!$N$2:$N$73,MATCH($A32,'Team Ratings'!$A$2:$A$73,0)),"")</f>
        <v>37.1</v>
      </c>
      <c r="Q32" s="7">
        <f t="array" ref="Q32">IFERROR(INDEX('Team Ratings'!$O$2:$O$73,MATCH($A32,'Team Ratings'!$A$2:$A$73,0)),"")</f>
        <v>34.1</v>
      </c>
      <c r="R32" s="7">
        <f t="array" ref="R32">IFERROR(INDEX('Team Ratings'!$P$2:$P$73,MATCH($A32,'Team Ratings'!$A$2:$A$73,0)),"")</f>
        <v>32.6</v>
      </c>
      <c r="S32" s="11">
        <f t="array" ref="S32">IFERROR(INDEX('Team Ratings'!$Q$2:$Q$73,MATCH($A32,'Team Ratings'!$A$2:$A$73,0)),0)</f>
        <v>0</v>
      </c>
      <c r="T32" s="7">
        <f t="array" ref="T32">IFERROR(INDEX('Team Ratings'!$R$2:$R$73,MATCH($A32,'Team Ratings'!$A$2:$A$73,0)),"")</f>
        <v>119.4</v>
      </c>
      <c r="U32" s="7">
        <f t="array" ref="U32">IFERROR(INDEX('Team Ratings'!$S$2:$S$73,MATCH($A32,'Team Ratings'!$A$2:$A$73,0)),"")</f>
        <v>100.5</v>
      </c>
      <c r="V32" s="7">
        <f t="shared" si="0"/>
        <v>18.900000000000006</v>
      </c>
      <c r="W32" s="7">
        <f t="shared" si="1"/>
        <v>-0.69999999999999574</v>
      </c>
      <c r="X32" s="7">
        <f t="shared" si="2"/>
        <v>19.425000000000001</v>
      </c>
      <c r="Y32" s="7">
        <f t="shared" si="3"/>
        <v>0.4</v>
      </c>
      <c r="Z32" s="7">
        <f t="shared" si="4"/>
        <v>2.2999999999999998</v>
      </c>
      <c r="AA32" s="7">
        <f t="shared" si="5"/>
        <v>2.85</v>
      </c>
      <c r="AB32" s="7">
        <f t="shared" si="6"/>
        <v>4.51</v>
      </c>
      <c r="AC32" s="12">
        <f t="shared" si="7"/>
        <v>-0.17249999999999999</v>
      </c>
      <c r="AD32" s="5" t="str">
        <f t="shared" si="8"/>
        <v>Clemson|Iowa</v>
      </c>
      <c r="AE32" s="5" t="s">
        <v>169</v>
      </c>
      <c r="AF32" s="5" t="s">
        <v>127</v>
      </c>
      <c r="AG32" s="5" t="s">
        <v>132</v>
      </c>
      <c r="AH32" s="10" t="b">
        <f t="shared" si="9"/>
        <v>1</v>
      </c>
      <c r="AI32" s="5" t="str">
        <f t="array" ref="AI32">IFERROR(INDEX(Matchups!$N$2:$N$64,MATCH($AE32,Matchups!$A$2:$A$64,0)),"")</f>
        <v>Iowa</v>
      </c>
      <c r="AJ32" s="7">
        <f t="array" ref="AJ32">IFERROR(INDEX(Matchups!$O$2:$O$64,MATCH($AE32,Matchups!$A$2:$A$64,0)),"")</f>
        <v>56</v>
      </c>
      <c r="AK32" s="5" t="str">
        <f t="array" ref="AK32">IFERROR(INDEX(Matchups!$T$2:$T$64,MATCH($AE32,Matchups!$A$2:$A$64,0)),"")</f>
        <v>ΔComposite=0.5; AdjNET Δ=-2; 3PT Δ=-2.7; TO Δ=-4.5; REB Δ=-4.3</v>
      </c>
      <c r="AL32" s="5" t="str">
        <f t="array" ref="AL32">IFERROR(INDEX(Matchups!$P$2:$P$64,MATCH($AE32,Matchups!$A$2:$A$64,0)),"")</f>
        <v>UPSET</v>
      </c>
      <c r="AM32" s="5" t="str">
        <f t="shared" si="10"/>
        <v>No</v>
      </c>
      <c r="AN32" s="5" t="str">
        <f t="shared" si="11"/>
        <v/>
      </c>
      <c r="AO32" s="5" t="str">
        <f t="shared" si="12"/>
        <v/>
      </c>
    </row>
    <row r="33" spans="1:41" ht="20" customHeight="1" x14ac:dyDescent="0.2">
      <c r="A33" s="5" t="s">
        <v>47</v>
      </c>
      <c r="B33" s="10">
        <f t="array" ref="B33">IFERROR(INDEX('Team Ratings'!$B$2:$B$73,MATCH($A33,'Team Ratings'!$A$2:$A$73,0)),"")</f>
        <v>8</v>
      </c>
      <c r="C33" s="10" t="str">
        <f t="array" ref="C33">IFERROR(INDEX('Team Ratings'!$C$2:$C$73,MATCH($A33,'Team Ratings'!$A$2:$A$73,0)),"")</f>
        <v>West</v>
      </c>
      <c r="D33" s="5" t="s">
        <v>48</v>
      </c>
      <c r="E33" s="10">
        <f t="array" ref="E33">IFERROR(INDEX('Team Ratings'!$B$2:$B$73,MATCH($D33,'Team Ratings'!$A$2:$A$73,0)),"")</f>
        <v>9</v>
      </c>
      <c r="F33" s="6">
        <f t="array" ref="F33">IFERROR(INDEX('Team Ratings'!$D$2:$D$73,MATCH($A33,'Team Ratings'!$A$2:$A$73,0)),"")</f>
        <v>0.88029999999999997</v>
      </c>
      <c r="G33" s="7">
        <f t="array" ref="G33">IFERROR(INDEX('Team Ratings'!$E$2:$E$73,MATCH($A33,'Team Ratings'!$A$2:$A$73,0)),"")</f>
        <v>119.6</v>
      </c>
      <c r="H33" s="7">
        <f t="array" ref="H33">IFERROR(INDEX('Team Ratings'!$F$2:$F$73,MATCH($A33,'Team Ratings'!$A$2:$A$73,0)),"")</f>
        <v>100.5</v>
      </c>
      <c r="I33" s="7">
        <f t="array" ref="I33">IFERROR(INDEX('Team Ratings'!$G$2:$G$73,MATCH($A33,'Team Ratings'!$A$2:$A$73,0)),"")</f>
        <v>19.100000000000001</v>
      </c>
      <c r="J33" s="7">
        <f t="array" ref="J33">IFERROR(INDEX('Team Ratings'!$H$2:$H$73,MATCH($A33,'Team Ratings'!$A$2:$A$73,0)),"")</f>
        <v>53.7</v>
      </c>
      <c r="K33" s="7">
        <f t="array" ref="K33">IFERROR(INDEX('Team Ratings'!$I$2:$I$73,MATCH($A33,'Team Ratings'!$A$2:$A$73,0)),"")</f>
        <v>51.3</v>
      </c>
      <c r="L33" s="7">
        <f t="array" ref="L33">IFERROR(INDEX('Team Ratings'!$J$2:$J$73,MATCH($A33,'Team Ratings'!$A$2:$A$73,0)),"")</f>
        <v>15.1</v>
      </c>
      <c r="M33" s="7">
        <f t="array" ref="M33">IFERROR(INDEX('Team Ratings'!$K$2:$K$73,MATCH($A33,'Team Ratings'!$A$2:$A$73,0)),"")</f>
        <v>18.7</v>
      </c>
      <c r="N33" s="7">
        <f t="array" ref="N33">IFERROR(INDEX('Team Ratings'!$L$2:$L$73,MATCH($A33,'Team Ratings'!$A$2:$A$73,0)),"")</f>
        <v>32.4</v>
      </c>
      <c r="O33" s="7">
        <f t="array" ref="O33">IFERROR(INDEX('Team Ratings'!$M$2:$M$73,MATCH($A33,'Team Ratings'!$A$2:$A$73,0)),"")</f>
        <v>31.7</v>
      </c>
      <c r="P33" s="7">
        <f t="array" ref="P33">IFERROR(INDEX('Team Ratings'!$N$2:$N$73,MATCH($A33,'Team Ratings'!$A$2:$A$73,0)),"")</f>
        <v>31.3</v>
      </c>
      <c r="Q33" s="7">
        <f t="array" ref="Q33">IFERROR(INDEX('Team Ratings'!$O$2:$O$73,MATCH($A33,'Team Ratings'!$A$2:$A$73,0)),"")</f>
        <v>35.299999999999997</v>
      </c>
      <c r="R33" s="7">
        <f t="array" ref="R33">IFERROR(INDEX('Team Ratings'!$P$2:$P$73,MATCH($A33,'Team Ratings'!$A$2:$A$73,0)),"")</f>
        <v>33.9</v>
      </c>
      <c r="S33" s="11">
        <f t="array" ref="S33">IFERROR(INDEX('Team Ratings'!$Q$2:$Q$73,MATCH($A33,'Team Ratings'!$A$2:$A$73,0)),0)</f>
        <v>0</v>
      </c>
      <c r="T33" s="7">
        <f t="array" ref="T33">IFERROR(INDEX('Team Ratings'!$R$2:$R$73,MATCH($A33,'Team Ratings'!$A$2:$A$73,0)),"")</f>
        <v>117.1</v>
      </c>
      <c r="U33" s="7">
        <f t="array" ref="U33">IFERROR(INDEX('Team Ratings'!$S$2:$S$73,MATCH($A33,'Team Ratings'!$A$2:$A$73,0)),"")</f>
        <v>100.2</v>
      </c>
      <c r="V33" s="7">
        <f t="shared" si="0"/>
        <v>16.899999999999991</v>
      </c>
      <c r="W33" s="7">
        <f t="shared" si="1"/>
        <v>-2.2000000000000099</v>
      </c>
      <c r="X33" s="7">
        <f t="shared" si="2"/>
        <v>18.55</v>
      </c>
      <c r="Y33" s="7">
        <f t="shared" si="3"/>
        <v>1.4</v>
      </c>
      <c r="Z33" s="7">
        <f t="shared" si="4"/>
        <v>3.3</v>
      </c>
      <c r="AA33" s="7">
        <f t="shared" si="5"/>
        <v>4.4000000000000004</v>
      </c>
      <c r="AB33" s="7">
        <f t="shared" si="6"/>
        <v>4.2699999999999996</v>
      </c>
      <c r="AC33" s="12">
        <f t="shared" si="7"/>
        <v>-9.0899999999999995E-2</v>
      </c>
      <c r="AD33" s="5" t="str">
        <f t="shared" si="8"/>
        <v>Utah St.|Villanova</v>
      </c>
      <c r="AE33" s="5" t="s">
        <v>170</v>
      </c>
      <c r="AF33" s="5" t="s">
        <v>129</v>
      </c>
      <c r="AG33" s="5" t="s">
        <v>132</v>
      </c>
      <c r="AH33" s="10" t="b">
        <f t="shared" si="9"/>
        <v>1</v>
      </c>
      <c r="AI33" s="5" t="str">
        <f t="array" ref="AI33">IFERROR(INDEX(Matchups!$N$2:$N$64,MATCH($AE33,Matchups!$A$2:$A$64,0)),"")</f>
        <v>Utah St.</v>
      </c>
      <c r="AJ33" s="7">
        <f t="array" ref="AJ33">IFERROR(INDEX(Matchups!$O$2:$O$64,MATCH($AE33,Matchups!$A$2:$A$64,0)),"")</f>
        <v>52.2</v>
      </c>
      <c r="AK33" s="5" t="str">
        <f t="array" ref="AK33">IFERROR(INDEX(Matchups!$T$2:$T$64,MATCH($AE33,Matchups!$A$2:$A$64,0)),"")</f>
        <v>ΔComposite=0.18; AdjNET Δ=1.9; 3PT Δ=-0.2; TO Δ=2.2; REB Δ=1.2</v>
      </c>
      <c r="AL33" s="5" t="str">
        <f t="array" ref="AL33">IFERROR(INDEX(Matchups!$P$2:$P$64,MATCH($AE33,Matchups!$A$2:$A$64,0)),"")</f>
        <v>UPSET</v>
      </c>
      <c r="AM33" s="5" t="str">
        <f t="shared" si="10"/>
        <v>No</v>
      </c>
      <c r="AN33" s="5" t="str">
        <f t="shared" si="11"/>
        <v/>
      </c>
      <c r="AO33" s="5" t="str">
        <f t="shared" si="12"/>
        <v/>
      </c>
    </row>
    <row r="34" spans="1:41" ht="20" customHeight="1" x14ac:dyDescent="0.2">
      <c r="A34" s="5" t="s">
        <v>31</v>
      </c>
      <c r="B34" s="10">
        <f t="array" ref="B34">IFERROR(INDEX('Team Ratings'!$B$2:$B$73,MATCH($A34,'Team Ratings'!$A$2:$A$73,0)),"")</f>
        <v>9</v>
      </c>
      <c r="C34" s="10" t="str">
        <f t="array" ref="C34">IFERROR(INDEX('Team Ratings'!$C$2:$C$73,MATCH($A34,'Team Ratings'!$A$2:$A$73,0)),"")</f>
        <v>East</v>
      </c>
      <c r="D34" s="5" t="s">
        <v>30</v>
      </c>
      <c r="E34" s="10">
        <f t="array" ref="E34">IFERROR(INDEX('Team Ratings'!$B$2:$B$73,MATCH($D34,'Team Ratings'!$A$2:$A$73,0)),"")</f>
        <v>8</v>
      </c>
      <c r="F34" s="6">
        <f t="array" ref="F34">IFERROR(INDEX('Team Ratings'!$D$2:$D$73,MATCH($A34,'Team Ratings'!$A$2:$A$73,0)),"")</f>
        <v>0.8367</v>
      </c>
      <c r="G34" s="7">
        <f t="array" ref="G34">IFERROR(INDEX('Team Ratings'!$E$2:$E$73,MATCH($A34,'Team Ratings'!$A$2:$A$73,0)),"")</f>
        <v>114.9</v>
      </c>
      <c r="H34" s="7">
        <f t="array" ref="H34">IFERROR(INDEX('Team Ratings'!$F$2:$F$73,MATCH($A34,'Team Ratings'!$A$2:$A$73,0)),"")</f>
        <v>99.6</v>
      </c>
      <c r="I34" s="7">
        <f t="array" ref="I34">IFERROR(INDEX('Team Ratings'!$G$2:$G$73,MATCH($A34,'Team Ratings'!$A$2:$A$73,0)),"")</f>
        <v>15.3</v>
      </c>
      <c r="J34" s="7">
        <f t="array" ref="J34">IFERROR(INDEX('Team Ratings'!$H$2:$H$73,MATCH($A34,'Team Ratings'!$A$2:$A$73,0)),"")</f>
        <v>50.9</v>
      </c>
      <c r="K34" s="7">
        <f t="array" ref="K34">IFERROR(INDEX('Team Ratings'!$I$2:$I$73,MATCH($A34,'Team Ratings'!$A$2:$A$73,0)),"")</f>
        <v>51</v>
      </c>
      <c r="L34" s="7">
        <f t="array" ref="L34">IFERROR(INDEX('Team Ratings'!$J$2:$J$73,MATCH($A34,'Team Ratings'!$A$2:$A$73,0)),"")</f>
        <v>15.5</v>
      </c>
      <c r="M34" s="7">
        <f t="array" ref="M34">IFERROR(INDEX('Team Ratings'!$K$2:$K$73,MATCH($A34,'Team Ratings'!$A$2:$A$73,0)),"")</f>
        <v>19.7</v>
      </c>
      <c r="N34" s="7">
        <f t="array" ref="N34">IFERROR(INDEX('Team Ratings'!$L$2:$L$73,MATCH($A34,'Team Ratings'!$A$2:$A$73,0)),"")</f>
        <v>34.4</v>
      </c>
      <c r="O34" s="7">
        <f t="array" ref="O34">IFERROR(INDEX('Team Ratings'!$M$2:$M$73,MATCH($A34,'Team Ratings'!$A$2:$A$73,0)),"")</f>
        <v>29.2</v>
      </c>
      <c r="P34" s="7">
        <f t="array" ref="P34">IFERROR(INDEX('Team Ratings'!$N$2:$N$73,MATCH($A34,'Team Ratings'!$A$2:$A$73,0)),"")</f>
        <v>38.700000000000003</v>
      </c>
      <c r="Q34" s="7">
        <f t="array" ref="Q34">IFERROR(INDEX('Team Ratings'!$O$2:$O$73,MATCH($A34,'Team Ratings'!$A$2:$A$73,0)),"")</f>
        <v>33.1</v>
      </c>
      <c r="R34" s="7">
        <f t="array" ref="R34">IFERROR(INDEX('Team Ratings'!$P$2:$P$73,MATCH($A34,'Team Ratings'!$A$2:$A$73,0)),"")</f>
        <v>33.700000000000003</v>
      </c>
      <c r="S34" s="11">
        <f t="array" ref="S34">IFERROR(INDEX('Team Ratings'!$Q$2:$Q$73,MATCH($A34,'Team Ratings'!$A$2:$A$73,0)),0)</f>
        <v>0</v>
      </c>
      <c r="T34" s="7">
        <f t="array" ref="T34">IFERROR(INDEX('Team Ratings'!$R$2:$R$73,MATCH($A34,'Team Ratings'!$A$2:$A$73,0)),"")</f>
        <v>126.6</v>
      </c>
      <c r="U34" s="7">
        <f t="array" ref="U34">IFERROR(INDEX('Team Ratings'!$S$2:$S$73,MATCH($A34,'Team Ratings'!$A$2:$A$73,0)),"")</f>
        <v>101</v>
      </c>
      <c r="V34" s="7">
        <f t="shared" ref="V34:V65" si="13">IF(OR(T34="",U34=""),"",T34-U34)</f>
        <v>25.599999999999994</v>
      </c>
      <c r="W34" s="7">
        <f t="shared" ref="W34:W65" si="14">IF(OR(V34="",I34=""),"",V34-I34)</f>
        <v>10.299999999999994</v>
      </c>
      <c r="X34" s="7">
        <f t="shared" ref="X34:X65" si="15">IF(OR(I34="",V34=""),"",ROUND((I34*0.75)+(V34*0.25),3))</f>
        <v>17.875</v>
      </c>
      <c r="Y34" s="7">
        <f t="shared" ref="Y34:Y65" si="16">IFERROR(ROUND(Q34-INDEX($R$2:$R$65,MATCH($D34,$A$2:$A$65,0)),3),"")</f>
        <v>1.5</v>
      </c>
      <c r="Z34" s="7">
        <f t="shared" ref="Z34:Z65" si="17">IFERROR(ROUND(M34-INDEX($L$2:$L$65,MATCH($D34,$A$2:$A$65,0)),3),"")</f>
        <v>4.3</v>
      </c>
      <c r="AA34" s="7">
        <f t="shared" ref="AA34:AA65" si="18">IFERROR(ROUND(MAX(0,MIN(10,5+((N34-INDEX($O$2:$O$65,MATCH($D34,$A$2:$A$65,0)))+(O34-INDEX($N$2:$N$65,MATCH($D34,$A$2:$A$65,0))))/2)),3),"")</f>
        <v>6.4</v>
      </c>
      <c r="AB34" s="7">
        <f t="shared" ref="AB34:AB65" si="19">IFERROR(ROUND((1/B34)*4 + (V34/MAX($V$2:$V$65))*4 + (1-(L34/MAX($L$2:$L$65)))*2 + (P34/MAX($P$2:$P$65)) + (O34/MAX($O$2:$O$65)),2),"")</f>
        <v>5.14</v>
      </c>
      <c r="AC34" s="12">
        <f t="shared" ref="AC34:AC65" si="20">ROUND((0.35*IFERROR((X34-AVERAGE($X$2:$X$65))/_xlfn.STDEV.P($X$2:$X$65),0)) + (0.2*IFERROR((W34-AVERAGE($W$2:$W$65))/_xlfn.STDEV.P($W$2:$W$65),0)) + (0.15*IFERROR((Y34-AVERAGE($Y$2:$Y$65))/_xlfn.STDEV.P($Y$2:$Y$65),0)) + (0.1*IFERROR((Z34-AVERAGE($Z$2:$Z$65))/_xlfn.STDEV.P($Z$2:$Z$65),0)) + (0.1*IFERROR((AA34-AVERAGE($AA$2:$AA$65))/_xlfn.STDEV.P($AA$2:$AA$65),0)) + (0.05*IFERROR((AB34-AVERAGE($AB$2:$AB$65))/_xlfn.STDEV.P($AB$2:$AB$65),0)) + (0.05*IFERROR((S34-AVERAGE($S$2:$S$65))/IF(_xlfn.STDEV.P($S$2:$S$65)=0,1,_xlfn.STDEV.P($S$2:$S$65)),0)),4)</f>
        <v>0.31430000000000002</v>
      </c>
      <c r="AD34" s="5" t="str">
        <f t="shared" ref="AD34:AD65" si="21">IF(OR($A34="",$D34=""),"",IF($A34&lt;=$D34,$A34&amp;"|"&amp;$D34,$D34&amp;"|"&amp;$A34))</f>
        <v>Ohio St.|TCU</v>
      </c>
      <c r="AE34" s="5" t="s">
        <v>167</v>
      </c>
      <c r="AF34" s="5" t="s">
        <v>122</v>
      </c>
      <c r="AG34" s="5" t="s">
        <v>132</v>
      </c>
      <c r="AH34" s="10" t="b">
        <f t="shared" ref="AH34:AH65" si="22">AND($A34&lt;&gt;"",$D34&lt;&gt;"",ISNUMBER($AC34))</f>
        <v>1</v>
      </c>
      <c r="AI34" s="5" t="str">
        <f t="array" ref="AI34">IFERROR(INDEX(Matchups!$N$2:$N$64,MATCH($AE34,Matchups!$A$2:$A$64,0)),"")</f>
        <v>Ohio St.</v>
      </c>
      <c r="AJ34" s="7">
        <f t="array" ref="AJ34">IFERROR(INDEX(Matchups!$O$2:$O$64,MATCH($AE34,Matchups!$A$2:$A$64,0)),"")</f>
        <v>53.1</v>
      </c>
      <c r="AK34" s="5" t="str">
        <f t="array" ref="AK34">IFERROR(INDEX(Matchups!$T$2:$T$64,MATCH($AE34,Matchups!$A$2:$A$64,0)),"")</f>
        <v>ΔComposite=0.26; AdjNET Δ=-9.4; 3PT Δ=-0.8; TO Δ=4; REB Δ=2.8</v>
      </c>
      <c r="AL34" s="5" t="str">
        <f t="array" ref="AL34">IFERROR(INDEX(Matchups!$P$2:$P$64,MATCH($AE34,Matchups!$A$2:$A$64,0)),"")</f>
        <v/>
      </c>
      <c r="AM34" s="5" t="str">
        <f t="shared" ref="AM34:AM65" si="23">IF($AI34="","",IF($A34=$AI34,"Yes","No"))</f>
        <v>No</v>
      </c>
      <c r="AN34" s="5" t="str">
        <f t="shared" ref="AN34:AN65" si="24">IF($AM34="Yes",$AF34,"")</f>
        <v/>
      </c>
      <c r="AO34" s="5" t="str">
        <f t="shared" ref="AO34:AO65" si="25">IF($AM34="Yes",$AG34,"")</f>
        <v/>
      </c>
    </row>
    <row r="35" spans="1:41" ht="20" customHeight="1" x14ac:dyDescent="0.2">
      <c r="A35" s="5" t="s">
        <v>87</v>
      </c>
      <c r="B35" s="10">
        <f t="array" ref="B35">IFERROR(INDEX('Team Ratings'!$B$2:$B$73,MATCH($A35,'Team Ratings'!$A$2:$A$73,0)),"")</f>
        <v>9</v>
      </c>
      <c r="C35" s="10" t="str">
        <f t="array" ref="C35">IFERROR(INDEX('Team Ratings'!$C$2:$C$73,MATCH($A35,'Team Ratings'!$A$2:$A$73,0)),"")</f>
        <v>Midwest</v>
      </c>
      <c r="D35" s="5" t="s">
        <v>86</v>
      </c>
      <c r="E35" s="10">
        <f t="array" ref="E35">IFERROR(INDEX('Team Ratings'!$B$2:$B$73,MATCH($D35,'Team Ratings'!$A$2:$A$73,0)),"")</f>
        <v>8</v>
      </c>
      <c r="F35" s="6">
        <f t="array" ref="F35">IFERROR(INDEX('Team Ratings'!$D$2:$D$73,MATCH($A35,'Team Ratings'!$A$2:$A$73,0)),"")</f>
        <v>0.85729999999999995</v>
      </c>
      <c r="G35" s="7">
        <f t="array" ref="G35">IFERROR(INDEX('Team Ratings'!$E$2:$E$73,MATCH($A35,'Team Ratings'!$A$2:$A$73,0)),"")</f>
        <v>119.5</v>
      </c>
      <c r="H35" s="7">
        <f t="array" ref="H35">IFERROR(INDEX('Team Ratings'!$F$2:$F$73,MATCH($A35,'Team Ratings'!$A$2:$A$73,0)),"")</f>
        <v>102.3</v>
      </c>
      <c r="I35" s="7">
        <f t="array" ref="I35">IFERROR(INDEX('Team Ratings'!$G$2:$G$73,MATCH($A35,'Team Ratings'!$A$2:$A$73,0)),"")</f>
        <v>17.2</v>
      </c>
      <c r="J35" s="7">
        <f t="array" ref="J35">IFERROR(INDEX('Team Ratings'!$H$2:$H$73,MATCH($A35,'Team Ratings'!$A$2:$A$73,0)),"")</f>
        <v>59.7</v>
      </c>
      <c r="K35" s="7">
        <f t="array" ref="K35">IFERROR(INDEX('Team Ratings'!$I$2:$I$73,MATCH($A35,'Team Ratings'!$A$2:$A$73,0)),"")</f>
        <v>44.8</v>
      </c>
      <c r="L35" s="7">
        <f t="array" ref="L35">IFERROR(INDEX('Team Ratings'!$J$2:$J$73,MATCH($A35,'Team Ratings'!$A$2:$A$73,0)),"")</f>
        <v>17.399999999999999</v>
      </c>
      <c r="M35" s="7">
        <f t="array" ref="M35">IFERROR(INDEX('Team Ratings'!$K$2:$K$73,MATCH($A35,'Team Ratings'!$A$2:$A$73,0)),"")</f>
        <v>16.100000000000001</v>
      </c>
      <c r="N35" s="7">
        <f t="array" ref="N35">IFERROR(INDEX('Team Ratings'!$L$2:$L$73,MATCH($A35,'Team Ratings'!$A$2:$A$73,0)),"")</f>
        <v>31.1</v>
      </c>
      <c r="O35" s="7">
        <f t="array" ref="O35">IFERROR(INDEX('Team Ratings'!$M$2:$M$73,MATCH($A35,'Team Ratings'!$A$2:$A$73,0)),"")</f>
        <v>27</v>
      </c>
      <c r="P35" s="7">
        <f t="array" ref="P35">IFERROR(INDEX('Team Ratings'!$N$2:$N$73,MATCH($A35,'Team Ratings'!$A$2:$A$73,0)),"")</f>
        <v>34.700000000000003</v>
      </c>
      <c r="Q35" s="7">
        <f t="array" ref="Q35">IFERROR(INDEX('Team Ratings'!$O$2:$O$73,MATCH($A35,'Team Ratings'!$A$2:$A$73,0)),"")</f>
        <v>40.5</v>
      </c>
      <c r="R35" s="7">
        <f t="array" ref="R35">IFERROR(INDEX('Team Ratings'!$P$2:$P$73,MATCH($A35,'Team Ratings'!$A$2:$A$73,0)),"")</f>
        <v>30</v>
      </c>
      <c r="S35" s="11">
        <f t="array" ref="S35">IFERROR(INDEX('Team Ratings'!$Q$2:$Q$73,MATCH($A35,'Team Ratings'!$A$2:$A$73,0)),0)</f>
        <v>0</v>
      </c>
      <c r="T35" s="7">
        <f t="array" ref="T35">IFERROR(INDEX('Team Ratings'!$R$2:$R$73,MATCH($A35,'Team Ratings'!$A$2:$A$73,0)),"")</f>
        <v>113.6</v>
      </c>
      <c r="U35" s="7">
        <f t="array" ref="U35">IFERROR(INDEX('Team Ratings'!$S$2:$S$73,MATCH($A35,'Team Ratings'!$A$2:$A$73,0)),"")</f>
        <v>111.8</v>
      </c>
      <c r="V35" s="7">
        <f t="shared" si="13"/>
        <v>1.7999999999999972</v>
      </c>
      <c r="W35" s="7">
        <f t="shared" si="14"/>
        <v>-15.400000000000002</v>
      </c>
      <c r="X35" s="7">
        <f t="shared" si="15"/>
        <v>13.35</v>
      </c>
      <c r="Y35" s="7">
        <f t="shared" si="16"/>
        <v>6.8</v>
      </c>
      <c r="Z35" s="7">
        <f t="shared" si="17"/>
        <v>1.8</v>
      </c>
      <c r="AA35" s="7">
        <f t="shared" si="18"/>
        <v>0</v>
      </c>
      <c r="AB35" s="7">
        <f t="shared" si="19"/>
        <v>2.39</v>
      </c>
      <c r="AC35" s="12">
        <f t="shared" si="20"/>
        <v>-0.47720000000000001</v>
      </c>
      <c r="AD35" s="5" t="str">
        <f t="shared" si="21"/>
        <v>Georgia|Saint Louis</v>
      </c>
      <c r="AE35" s="5" t="s">
        <v>168</v>
      </c>
      <c r="AF35" s="5" t="s">
        <v>125</v>
      </c>
      <c r="AG35" s="5" t="s">
        <v>132</v>
      </c>
      <c r="AH35" s="10" t="b">
        <f t="shared" si="22"/>
        <v>1</v>
      </c>
      <c r="AI35" s="5" t="str">
        <f t="array" ref="AI35">IFERROR(INDEX(Matchups!$N$2:$N$64,MATCH($AE35,Matchups!$A$2:$A$64,0)),"")</f>
        <v>Georgia</v>
      </c>
      <c r="AJ35" s="7">
        <f t="array" ref="AJ35">IFERROR(INDEX(Matchups!$O$2:$O$64,MATCH($AE35,Matchups!$A$2:$A$64,0)),"")</f>
        <v>58.3</v>
      </c>
      <c r="AK35" s="5" t="str">
        <f t="array" ref="AK35">IFERROR(INDEX(Matchups!$T$2:$T$64,MATCH($AE35,Matchups!$A$2:$A$64,0)),"")</f>
        <v>ΔComposite=0.69; AdjNET Δ=5.6; 3PT Δ=-2.7; TO Δ=-0.8; REB Δ=10</v>
      </c>
      <c r="AL35" s="5" t="str">
        <f t="array" ref="AL35">IFERROR(INDEX(Matchups!$P$2:$P$64,MATCH($AE35,Matchups!$A$2:$A$64,0)),"")</f>
        <v/>
      </c>
      <c r="AM35" s="5" t="str">
        <f t="shared" si="23"/>
        <v>No</v>
      </c>
      <c r="AN35" s="5" t="str">
        <f t="shared" si="24"/>
        <v/>
      </c>
      <c r="AO35" s="5" t="str">
        <f t="shared" si="25"/>
        <v/>
      </c>
    </row>
    <row r="36" spans="1:41" ht="20" customHeight="1" x14ac:dyDescent="0.2">
      <c r="A36" s="5" t="s">
        <v>68</v>
      </c>
      <c r="B36" s="10">
        <f t="array" ref="B36">IFERROR(INDEX('Team Ratings'!$B$2:$B$73,MATCH($A36,'Team Ratings'!$A$2:$A$73,0)),"")</f>
        <v>9</v>
      </c>
      <c r="C36" s="10" t="str">
        <f t="array" ref="C36">IFERROR(INDEX('Team Ratings'!$C$2:$C$73,MATCH($A36,'Team Ratings'!$A$2:$A$73,0)),"")</f>
        <v>South</v>
      </c>
      <c r="D36" s="5" t="s">
        <v>67</v>
      </c>
      <c r="E36" s="10">
        <f t="array" ref="E36">IFERROR(INDEX('Team Ratings'!$B$2:$B$73,MATCH($D36,'Team Ratings'!$A$2:$A$73,0)),"")</f>
        <v>8</v>
      </c>
      <c r="F36" s="6">
        <f t="array" ref="F36">IFERROR(INDEX('Team Ratings'!$D$2:$D$73,MATCH($A36,'Team Ratings'!$A$2:$A$73,0)),"")</f>
        <v>0.90680000000000005</v>
      </c>
      <c r="G36" s="7">
        <f t="array" ref="G36">IFERROR(INDEX('Team Ratings'!$E$2:$E$73,MATCH($A36,'Team Ratings'!$A$2:$A$73,0)),"")</f>
        <v>122.1</v>
      </c>
      <c r="H36" s="7">
        <f t="array" ref="H36">IFERROR(INDEX('Team Ratings'!$F$2:$F$73,MATCH($A36,'Team Ratings'!$A$2:$A$73,0)),"")</f>
        <v>100.2</v>
      </c>
      <c r="I36" s="7">
        <f t="array" ref="I36">IFERROR(INDEX('Team Ratings'!$G$2:$G$73,MATCH($A36,'Team Ratings'!$A$2:$A$73,0)),"")</f>
        <v>21.9</v>
      </c>
      <c r="J36" s="7">
        <f t="array" ref="J36">IFERROR(INDEX('Team Ratings'!$H$2:$H$73,MATCH($A36,'Team Ratings'!$A$2:$A$73,0)),"")</f>
        <v>56.6</v>
      </c>
      <c r="K36" s="7">
        <f t="array" ref="K36">IFERROR(INDEX('Team Ratings'!$I$2:$I$73,MATCH($A36,'Team Ratings'!$A$2:$A$73,0)),"")</f>
        <v>52.7</v>
      </c>
      <c r="L36" s="7">
        <f t="array" ref="L36">IFERROR(INDEX('Team Ratings'!$J$2:$J$73,MATCH($A36,'Team Ratings'!$A$2:$A$73,0)),"")</f>
        <v>15.2</v>
      </c>
      <c r="M36" s="7">
        <f t="array" ref="M36">IFERROR(INDEX('Team Ratings'!$K$2:$K$73,MATCH($A36,'Team Ratings'!$A$2:$A$73,0)),"")</f>
        <v>21</v>
      </c>
      <c r="N36" s="7">
        <f t="array" ref="N36">IFERROR(INDEX('Team Ratings'!$L$2:$L$73,MATCH($A36,'Team Ratings'!$A$2:$A$73,0)),"")</f>
        <v>30.1</v>
      </c>
      <c r="O36" s="7">
        <f t="array" ref="O36">IFERROR(INDEX('Team Ratings'!$M$2:$M$73,MATCH($A36,'Team Ratings'!$A$2:$A$73,0)),"")</f>
        <v>28</v>
      </c>
      <c r="P36" s="7">
        <f t="array" ref="P36">IFERROR(INDEX('Team Ratings'!$N$2:$N$73,MATCH($A36,'Team Ratings'!$A$2:$A$73,0)),"")</f>
        <v>34.5</v>
      </c>
      <c r="Q36" s="7">
        <f t="array" ref="Q36">IFERROR(INDEX('Team Ratings'!$O$2:$O$73,MATCH($A36,'Team Ratings'!$A$2:$A$73,0)),"")</f>
        <v>35.700000000000003</v>
      </c>
      <c r="R36" s="7">
        <f t="array" ref="R36">IFERROR(INDEX('Team Ratings'!$P$2:$P$73,MATCH($A36,'Team Ratings'!$A$2:$A$73,0)),"")</f>
        <v>33.700000000000003</v>
      </c>
      <c r="S36" s="11">
        <f t="array" ref="S36">IFERROR(INDEX('Team Ratings'!$Q$2:$Q$73,MATCH($A36,'Team Ratings'!$A$2:$A$73,0)),0)</f>
        <v>0</v>
      </c>
      <c r="T36" s="7">
        <f t="array" ref="T36">IFERROR(INDEX('Team Ratings'!$R$2:$R$73,MATCH($A36,'Team Ratings'!$A$2:$A$73,0)),"")</f>
        <v>121</v>
      </c>
      <c r="U36" s="7">
        <f t="array" ref="U36">IFERROR(INDEX('Team Ratings'!$S$2:$S$73,MATCH($A36,'Team Ratings'!$A$2:$A$73,0)),"")</f>
        <v>101.1</v>
      </c>
      <c r="V36" s="7">
        <f t="shared" si="13"/>
        <v>19.900000000000006</v>
      </c>
      <c r="W36" s="7">
        <f t="shared" si="14"/>
        <v>-1.9999999999999929</v>
      </c>
      <c r="X36" s="7">
        <f t="shared" si="15"/>
        <v>21.4</v>
      </c>
      <c r="Y36" s="7">
        <f t="shared" si="16"/>
        <v>3.1</v>
      </c>
      <c r="Z36" s="7">
        <f t="shared" si="17"/>
        <v>6.8</v>
      </c>
      <c r="AA36" s="7">
        <f t="shared" si="18"/>
        <v>7.15</v>
      </c>
      <c r="AB36" s="7">
        <f t="shared" si="19"/>
        <v>4.47</v>
      </c>
      <c r="AC36" s="12">
        <f t="shared" si="20"/>
        <v>0.3301</v>
      </c>
      <c r="AD36" s="5" t="str">
        <f t="shared" si="21"/>
        <v>Clemson|Iowa</v>
      </c>
      <c r="AE36" s="5" t="s">
        <v>169</v>
      </c>
      <c r="AF36" s="5" t="s">
        <v>127</v>
      </c>
      <c r="AG36" s="5" t="s">
        <v>132</v>
      </c>
      <c r="AH36" s="10" t="b">
        <f t="shared" si="22"/>
        <v>1</v>
      </c>
      <c r="AI36" s="5" t="str">
        <f t="array" ref="AI36">IFERROR(INDEX(Matchups!$N$2:$N$64,MATCH($AE36,Matchups!$A$2:$A$64,0)),"")</f>
        <v>Iowa</v>
      </c>
      <c r="AJ36" s="7">
        <f t="array" ref="AJ36">IFERROR(INDEX(Matchups!$O$2:$O$64,MATCH($AE36,Matchups!$A$2:$A$64,0)),"")</f>
        <v>56</v>
      </c>
      <c r="AK36" s="5" t="str">
        <f t="array" ref="AK36">IFERROR(INDEX(Matchups!$T$2:$T$64,MATCH($AE36,Matchups!$A$2:$A$64,0)),"")</f>
        <v>ΔComposite=0.5; AdjNET Δ=-2; 3PT Δ=-2.7; TO Δ=-4.5; REB Δ=-4.3</v>
      </c>
      <c r="AL36" s="5" t="str">
        <f t="array" ref="AL36">IFERROR(INDEX(Matchups!$P$2:$P$64,MATCH($AE36,Matchups!$A$2:$A$64,0)),"")</f>
        <v>UPSET</v>
      </c>
      <c r="AM36" s="5" t="str">
        <f t="shared" si="23"/>
        <v>Yes</v>
      </c>
      <c r="AN36" s="5" t="str">
        <f t="shared" si="24"/>
        <v>G41</v>
      </c>
      <c r="AO36" s="5" t="str">
        <f t="shared" si="25"/>
        <v>Team 2</v>
      </c>
    </row>
    <row r="37" spans="1:41" ht="20" customHeight="1" x14ac:dyDescent="0.2">
      <c r="A37" s="5" t="s">
        <v>48</v>
      </c>
      <c r="B37" s="10">
        <f t="array" ref="B37">IFERROR(INDEX('Team Ratings'!$B$2:$B$73,MATCH($A37,'Team Ratings'!$A$2:$A$73,0)),"")</f>
        <v>9</v>
      </c>
      <c r="C37" s="10" t="str">
        <f t="array" ref="C37">IFERROR(INDEX('Team Ratings'!$C$2:$C$73,MATCH($A37,'Team Ratings'!$A$2:$A$73,0)),"")</f>
        <v>West</v>
      </c>
      <c r="D37" s="5" t="s">
        <v>47</v>
      </c>
      <c r="E37" s="10">
        <f t="array" ref="E37">IFERROR(INDEX('Team Ratings'!$B$2:$B$73,MATCH($D37,'Team Ratings'!$A$2:$A$73,0)),"")</f>
        <v>8</v>
      </c>
      <c r="F37" s="6">
        <f t="array" ref="F37">IFERROR(INDEX('Team Ratings'!$D$2:$D$73,MATCH($A37,'Team Ratings'!$A$2:$A$73,0)),"")</f>
        <v>0.8952</v>
      </c>
      <c r="G37" s="7">
        <f t="array" ref="G37">IFERROR(INDEX('Team Ratings'!$E$2:$E$73,MATCH($A37,'Team Ratings'!$A$2:$A$73,0)),"")</f>
        <v>123</v>
      </c>
      <c r="H37" s="7">
        <f t="array" ref="H37">IFERROR(INDEX('Team Ratings'!$F$2:$F$73,MATCH($A37,'Team Ratings'!$A$2:$A$73,0)),"")</f>
        <v>102.1</v>
      </c>
      <c r="I37" s="7">
        <f t="array" ref="I37">IFERROR(INDEX('Team Ratings'!$G$2:$G$73,MATCH($A37,'Team Ratings'!$A$2:$A$73,0)),"")</f>
        <v>20.9</v>
      </c>
      <c r="J37" s="7">
        <f t="array" ref="J37">IFERROR(INDEX('Team Ratings'!$H$2:$H$73,MATCH($A37,'Team Ratings'!$A$2:$A$73,0)),"")</f>
        <v>56.6</v>
      </c>
      <c r="K37" s="7">
        <f t="array" ref="K37">IFERROR(INDEX('Team Ratings'!$I$2:$I$73,MATCH($A37,'Team Ratings'!$A$2:$A$73,0)),"")</f>
        <v>49.6</v>
      </c>
      <c r="L37" s="7">
        <f t="array" ref="L37">IFERROR(INDEX('Team Ratings'!$J$2:$J$73,MATCH($A37,'Team Ratings'!$A$2:$A$73,0)),"")</f>
        <v>15.4</v>
      </c>
      <c r="M37" s="7">
        <f t="array" ref="M37">IFERROR(INDEX('Team Ratings'!$K$2:$K$73,MATCH($A37,'Team Ratings'!$A$2:$A$73,0)),"")</f>
        <v>20.6</v>
      </c>
      <c r="N37" s="7">
        <f t="array" ref="N37">IFERROR(INDEX('Team Ratings'!$L$2:$L$73,MATCH($A37,'Team Ratings'!$A$2:$A$73,0)),"")</f>
        <v>33.1</v>
      </c>
      <c r="O37" s="7">
        <f t="array" ref="O37">IFERROR(INDEX('Team Ratings'!$M$2:$M$73,MATCH($A37,'Team Ratings'!$A$2:$A$73,0)),"")</f>
        <v>32.200000000000003</v>
      </c>
      <c r="P37" s="7">
        <f t="array" ref="P37">IFERROR(INDEX('Team Ratings'!$N$2:$N$73,MATCH($A37,'Team Ratings'!$A$2:$A$73,0)),"")</f>
        <v>38.700000000000003</v>
      </c>
      <c r="Q37" s="7">
        <f t="array" ref="Q37">IFERROR(INDEX('Team Ratings'!$O$2:$O$73,MATCH($A37,'Team Ratings'!$A$2:$A$73,0)),"")</f>
        <v>35.1</v>
      </c>
      <c r="R37" s="7">
        <f t="array" ref="R37">IFERROR(INDEX('Team Ratings'!$P$2:$P$73,MATCH($A37,'Team Ratings'!$A$2:$A$73,0)),"")</f>
        <v>33.9</v>
      </c>
      <c r="S37" s="11">
        <f t="array" ref="S37">IFERROR(INDEX('Team Ratings'!$Q$2:$Q$73,MATCH($A37,'Team Ratings'!$A$2:$A$73,0)),0)</f>
        <v>0</v>
      </c>
      <c r="T37" s="7">
        <f t="array" ref="T37">IFERROR(INDEX('Team Ratings'!$R$2:$R$73,MATCH($A37,'Team Ratings'!$A$2:$A$73,0)),"")</f>
        <v>119.2</v>
      </c>
      <c r="U37" s="7">
        <f t="array" ref="U37">IFERROR(INDEX('Team Ratings'!$S$2:$S$73,MATCH($A37,'Team Ratings'!$A$2:$A$73,0)),"")</f>
        <v>100.1</v>
      </c>
      <c r="V37" s="7">
        <f t="shared" si="13"/>
        <v>19.100000000000009</v>
      </c>
      <c r="W37" s="7">
        <f t="shared" si="14"/>
        <v>-1.7999999999999901</v>
      </c>
      <c r="X37" s="7">
        <f t="shared" si="15"/>
        <v>20.45</v>
      </c>
      <c r="Y37" s="7">
        <f t="shared" si="16"/>
        <v>1.2</v>
      </c>
      <c r="Z37" s="7">
        <f t="shared" si="17"/>
        <v>5.5</v>
      </c>
      <c r="AA37" s="7">
        <f t="shared" si="18"/>
        <v>5.6</v>
      </c>
      <c r="AB37" s="7">
        <f t="shared" si="19"/>
        <v>4.58</v>
      </c>
      <c r="AC37" s="12">
        <f t="shared" si="20"/>
        <v>8.9899999999999994E-2</v>
      </c>
      <c r="AD37" s="5" t="str">
        <f t="shared" si="21"/>
        <v>Utah St.|Villanova</v>
      </c>
      <c r="AE37" s="5" t="s">
        <v>170</v>
      </c>
      <c r="AF37" s="5" t="s">
        <v>129</v>
      </c>
      <c r="AG37" s="5" t="s">
        <v>132</v>
      </c>
      <c r="AH37" s="10" t="b">
        <f t="shared" si="22"/>
        <v>1</v>
      </c>
      <c r="AI37" s="5" t="str">
        <f t="array" ref="AI37">IFERROR(INDEX(Matchups!$N$2:$N$64,MATCH($AE37,Matchups!$A$2:$A$64,0)),"")</f>
        <v>Utah St.</v>
      </c>
      <c r="AJ37" s="7">
        <f t="array" ref="AJ37">IFERROR(INDEX(Matchups!$O$2:$O$64,MATCH($AE37,Matchups!$A$2:$A$64,0)),"")</f>
        <v>52.2</v>
      </c>
      <c r="AK37" s="5" t="str">
        <f t="array" ref="AK37">IFERROR(INDEX(Matchups!$T$2:$T$64,MATCH($AE37,Matchups!$A$2:$A$64,0)),"")</f>
        <v>ΔComposite=0.18; AdjNET Δ=1.9; 3PT Δ=-0.2; TO Δ=2.2; REB Δ=1.2</v>
      </c>
      <c r="AL37" s="5" t="str">
        <f t="array" ref="AL37">IFERROR(INDEX(Matchups!$P$2:$P$64,MATCH($AE37,Matchups!$A$2:$A$64,0)),"")</f>
        <v>UPSET</v>
      </c>
      <c r="AM37" s="5" t="str">
        <f t="shared" si="23"/>
        <v>Yes</v>
      </c>
      <c r="AN37" s="5" t="str">
        <f t="shared" si="24"/>
        <v>G37</v>
      </c>
      <c r="AO37" s="5" t="str">
        <f t="shared" si="25"/>
        <v>Team 2</v>
      </c>
    </row>
    <row r="38" spans="1:41" ht="20" customHeight="1" x14ac:dyDescent="0.2">
      <c r="A38" s="5" t="s">
        <v>32</v>
      </c>
      <c r="B38" s="10">
        <f t="array" ref="B38">IFERROR(INDEX('Team Ratings'!$B$2:$B$73,MATCH($A38,'Team Ratings'!$A$2:$A$73,0)),"")</f>
        <v>10</v>
      </c>
      <c r="C38" s="10" t="str">
        <f t="array" ref="C38">IFERROR(INDEX('Team Ratings'!$C$2:$C$73,MATCH($A38,'Team Ratings'!$A$2:$A$73,0)),"")</f>
        <v>East</v>
      </c>
      <c r="D38" s="5" t="s">
        <v>29</v>
      </c>
      <c r="E38" s="10">
        <f t="array" ref="E38">IFERROR(INDEX('Team Ratings'!$B$2:$B$73,MATCH($D38,'Team Ratings'!$A$2:$A$73,0)),"")</f>
        <v>7</v>
      </c>
      <c r="F38" s="6">
        <f t="array" ref="F38">IFERROR(INDEX('Team Ratings'!$D$2:$D$73,MATCH($A38,'Team Ratings'!$A$2:$A$73,0)),"")</f>
        <v>0.81159999999999999</v>
      </c>
      <c r="G38" s="7">
        <f t="array" ref="G38">IFERROR(INDEX('Team Ratings'!$E$2:$E$73,MATCH($A38,'Team Ratings'!$A$2:$A$73,0)),"")</f>
        <v>120</v>
      </c>
      <c r="H38" s="7">
        <f t="array" ref="H38">IFERROR(INDEX('Team Ratings'!$F$2:$F$73,MATCH($A38,'Team Ratings'!$A$2:$A$73,0)),"")</f>
        <v>105.7</v>
      </c>
      <c r="I38" s="7">
        <f t="array" ref="I38">IFERROR(INDEX('Team Ratings'!$G$2:$G$73,MATCH($A38,'Team Ratings'!$A$2:$A$73,0)),"")</f>
        <v>14.3</v>
      </c>
      <c r="J38" s="7">
        <f t="array" ref="J38">IFERROR(INDEX('Team Ratings'!$H$2:$H$73,MATCH($A38,'Team Ratings'!$A$2:$A$73,0)),"")</f>
        <v>52.8</v>
      </c>
      <c r="K38" s="7">
        <f t="array" ref="K38">IFERROR(INDEX('Team Ratings'!$I$2:$I$73,MATCH($A38,'Team Ratings'!$A$2:$A$73,0)),"")</f>
        <v>52.4</v>
      </c>
      <c r="L38" s="7">
        <f t="array" ref="L38">IFERROR(INDEX('Team Ratings'!$J$2:$J$73,MATCH($A38,'Team Ratings'!$A$2:$A$73,0)),"")</f>
        <v>15.7</v>
      </c>
      <c r="M38" s="7">
        <f t="array" ref="M38">IFERROR(INDEX('Team Ratings'!$K$2:$K$73,MATCH($A38,'Team Ratings'!$A$2:$A$73,0)),"")</f>
        <v>15.8</v>
      </c>
      <c r="N38" s="7">
        <f t="array" ref="N38">IFERROR(INDEX('Team Ratings'!$L$2:$L$73,MATCH($A38,'Team Ratings'!$A$2:$A$73,0)),"")</f>
        <v>34.4</v>
      </c>
      <c r="O38" s="7">
        <f t="array" ref="O38">IFERROR(INDEX('Team Ratings'!$M$2:$M$73,MATCH($A38,'Team Ratings'!$A$2:$A$73,0)),"")</f>
        <v>28.5</v>
      </c>
      <c r="P38" s="7">
        <f t="array" ref="P38">IFERROR(INDEX('Team Ratings'!$N$2:$N$73,MATCH($A38,'Team Ratings'!$A$2:$A$73,0)),"")</f>
        <v>30.8</v>
      </c>
      <c r="Q38" s="7">
        <f t="array" ref="Q38">IFERROR(INDEX('Team Ratings'!$O$2:$O$73,MATCH($A38,'Team Ratings'!$A$2:$A$73,0)),"")</f>
        <v>36.200000000000003</v>
      </c>
      <c r="R38" s="7">
        <f t="array" ref="R38">IFERROR(INDEX('Team Ratings'!$P$2:$P$73,MATCH($A38,'Team Ratings'!$A$2:$A$73,0)),"")</f>
        <v>34</v>
      </c>
      <c r="S38" s="11">
        <f t="array" ref="S38">IFERROR(INDEX('Team Ratings'!$Q$2:$Q$73,MATCH($A38,'Team Ratings'!$A$2:$A$73,0)),0)</f>
        <v>-0.5</v>
      </c>
      <c r="T38" s="7">
        <f t="array" ref="T38">IFERROR(INDEX('Team Ratings'!$R$2:$R$73,MATCH($A38,'Team Ratings'!$A$2:$A$73,0)),"")</f>
        <v>107.1</v>
      </c>
      <c r="U38" s="7">
        <f t="array" ref="U38">IFERROR(INDEX('Team Ratings'!$S$2:$S$73,MATCH($A38,'Team Ratings'!$A$2:$A$73,0)),"")</f>
        <v>104.4</v>
      </c>
      <c r="V38" s="7">
        <f t="shared" si="13"/>
        <v>2.6999999999999886</v>
      </c>
      <c r="W38" s="7">
        <f t="shared" si="14"/>
        <v>-11.600000000000012</v>
      </c>
      <c r="X38" s="7">
        <f t="shared" si="15"/>
        <v>11.4</v>
      </c>
      <c r="Y38" s="7">
        <f t="shared" si="16"/>
        <v>4.4000000000000004</v>
      </c>
      <c r="Z38" s="7">
        <f t="shared" si="17"/>
        <v>2.4</v>
      </c>
      <c r="AA38" s="7">
        <f t="shared" si="18"/>
        <v>4.7</v>
      </c>
      <c r="AB38" s="7">
        <f t="shared" si="19"/>
        <v>2.57</v>
      </c>
      <c r="AC38" s="12">
        <f t="shared" si="20"/>
        <v>-0.45179999999999998</v>
      </c>
      <c r="AD38" s="5" t="str">
        <f t="shared" si="21"/>
        <v>UCF|UCLA</v>
      </c>
      <c r="AE38" s="5" t="s">
        <v>163</v>
      </c>
      <c r="AF38" s="5" t="s">
        <v>131</v>
      </c>
      <c r="AG38" s="5" t="s">
        <v>123</v>
      </c>
      <c r="AH38" s="10" t="b">
        <f t="shared" si="22"/>
        <v>1</v>
      </c>
      <c r="AI38" s="5" t="str">
        <f t="array" ref="AI38">IFERROR(INDEX(Matchups!$N$2:$N$64,MATCH($AE38,Matchups!$A$2:$A$64,0)),"")</f>
        <v>UCLA</v>
      </c>
      <c r="AJ38" s="7">
        <f t="array" ref="AJ38">IFERROR(INDEX(Matchups!$O$2:$O$64,MATCH($AE38,Matchups!$A$2:$A$64,0)),"")</f>
        <v>63.8</v>
      </c>
      <c r="AK38" s="5" t="str">
        <f t="array" ref="AK38">IFERROR(INDEX(Matchups!$T$2:$T$64,MATCH($AE38,Matchups!$A$2:$A$64,0)),"")</f>
        <v>ΔComposite=1.15; AdjNET Δ=15; 3PT Δ=-0.2; TO Δ=0; REB Δ=0.6</v>
      </c>
      <c r="AL38" s="5" t="str">
        <f t="array" ref="AL38">IFERROR(INDEX(Matchups!$P$2:$P$64,MATCH($AE38,Matchups!$A$2:$A$64,0)),"")</f>
        <v/>
      </c>
      <c r="AM38" s="5" t="str">
        <f t="shared" si="23"/>
        <v>No</v>
      </c>
      <c r="AN38" s="5" t="str">
        <f t="shared" si="24"/>
        <v/>
      </c>
      <c r="AO38" s="5" t="str">
        <f t="shared" si="25"/>
        <v/>
      </c>
    </row>
    <row r="39" spans="1:41" ht="20" customHeight="1" x14ac:dyDescent="0.2">
      <c r="A39" s="5" t="s">
        <v>88</v>
      </c>
      <c r="B39" s="10">
        <f t="array" ref="B39">IFERROR(INDEX('Team Ratings'!$B$2:$B$73,MATCH($A39,'Team Ratings'!$A$2:$A$73,0)),"")</f>
        <v>10</v>
      </c>
      <c r="C39" s="10" t="str">
        <f t="array" ref="C39">IFERROR(INDEX('Team Ratings'!$C$2:$C$73,MATCH($A39,'Team Ratings'!$A$2:$A$73,0)),"")</f>
        <v>Midwest</v>
      </c>
      <c r="D39" s="5" t="s">
        <v>85</v>
      </c>
      <c r="E39" s="10">
        <f t="array" ref="E39">IFERROR(INDEX('Team Ratings'!$B$2:$B$73,MATCH($D39,'Team Ratings'!$A$2:$A$73,0)),"")</f>
        <v>7</v>
      </c>
      <c r="F39" s="6">
        <f t="array" ref="F39">IFERROR(INDEX('Team Ratings'!$D$2:$D$73,MATCH($A39,'Team Ratings'!$A$2:$A$73,0)),"")</f>
        <v>0.89500000000000002</v>
      </c>
      <c r="G39" s="7">
        <f t="array" ref="G39">IFERROR(INDEX('Team Ratings'!$E$2:$E$73,MATCH($A39,'Team Ratings'!$A$2:$A$73,0)),"")</f>
        <v>125</v>
      </c>
      <c r="H39" s="7">
        <f t="array" ref="H39">IFERROR(INDEX('Team Ratings'!$F$2:$F$73,MATCH($A39,'Team Ratings'!$A$2:$A$73,0)),"")</f>
        <v>103.8</v>
      </c>
      <c r="I39" s="7">
        <f t="array" ref="I39">IFERROR(INDEX('Team Ratings'!$G$2:$G$73,MATCH($A39,'Team Ratings'!$A$2:$A$73,0)),"")</f>
        <v>21.2</v>
      </c>
      <c r="J39" s="7">
        <f t="array" ref="J39">IFERROR(INDEX('Team Ratings'!$H$2:$H$73,MATCH($A39,'Team Ratings'!$A$2:$A$73,0)),"")</f>
        <v>54.6</v>
      </c>
      <c r="K39" s="7">
        <f t="array" ref="K39">IFERROR(INDEX('Team Ratings'!$I$2:$I$73,MATCH($A39,'Team Ratings'!$A$2:$A$73,0)),"")</f>
        <v>51.8</v>
      </c>
      <c r="L39" s="7">
        <f t="array" ref="L39">IFERROR(INDEX('Team Ratings'!$J$2:$J$73,MATCH($A39,'Team Ratings'!$A$2:$A$73,0)),"")</f>
        <v>15.6</v>
      </c>
      <c r="M39" s="7">
        <f t="array" ref="M39">IFERROR(INDEX('Team Ratings'!$K$2:$K$73,MATCH($A39,'Team Ratings'!$A$2:$A$73,0)),"")</f>
        <v>20.100000000000001</v>
      </c>
      <c r="N39" s="7">
        <f t="array" ref="N39">IFERROR(INDEX('Team Ratings'!$L$2:$L$73,MATCH($A39,'Team Ratings'!$A$2:$A$73,0)),"")</f>
        <v>36.700000000000003</v>
      </c>
      <c r="O39" s="7">
        <f t="array" ref="O39">IFERROR(INDEX('Team Ratings'!$M$2:$M$73,MATCH($A39,'Team Ratings'!$A$2:$A$73,0)),"")</f>
        <v>32.299999999999997</v>
      </c>
      <c r="P39" s="7">
        <f t="array" ref="P39">IFERROR(INDEX('Team Ratings'!$N$2:$N$73,MATCH($A39,'Team Ratings'!$A$2:$A$73,0)),"")</f>
        <v>25.8</v>
      </c>
      <c r="Q39" s="7">
        <f t="array" ref="Q39">IFERROR(INDEX('Team Ratings'!$O$2:$O$73,MATCH($A39,'Team Ratings'!$A$2:$A$73,0)),"")</f>
        <v>34.9</v>
      </c>
      <c r="R39" s="7">
        <f t="array" ref="R39">IFERROR(INDEX('Team Ratings'!$P$2:$P$73,MATCH($A39,'Team Ratings'!$A$2:$A$73,0)),"")</f>
        <v>33</v>
      </c>
      <c r="S39" s="11">
        <f t="array" ref="S39">IFERROR(INDEX('Team Ratings'!$Q$2:$Q$73,MATCH($A39,'Team Ratings'!$A$2:$A$73,0)),0)</f>
        <v>0</v>
      </c>
      <c r="T39" s="7">
        <f t="array" ref="T39">IFERROR(INDEX('Team Ratings'!$R$2:$R$73,MATCH($A39,'Team Ratings'!$A$2:$A$73,0)),"")</f>
        <v>136.4</v>
      </c>
      <c r="U39" s="7">
        <f t="array" ref="U39">IFERROR(INDEX('Team Ratings'!$S$2:$S$73,MATCH($A39,'Team Ratings'!$A$2:$A$73,0)),"")</f>
        <v>110.4</v>
      </c>
      <c r="V39" s="7">
        <f t="shared" si="13"/>
        <v>26</v>
      </c>
      <c r="W39" s="7">
        <f t="shared" si="14"/>
        <v>4.8000000000000007</v>
      </c>
      <c r="X39" s="7">
        <f t="shared" si="15"/>
        <v>22.4</v>
      </c>
      <c r="Y39" s="7">
        <f t="shared" si="16"/>
        <v>3.3</v>
      </c>
      <c r="Z39" s="7">
        <f t="shared" si="17"/>
        <v>5.0999999999999996</v>
      </c>
      <c r="AA39" s="7">
        <f t="shared" si="18"/>
        <v>7.55</v>
      </c>
      <c r="AB39" s="7">
        <f t="shared" si="19"/>
        <v>4.93</v>
      </c>
      <c r="AC39" s="12">
        <f t="shared" si="20"/>
        <v>0.503</v>
      </c>
      <c r="AD39" s="5" t="str">
        <f t="shared" si="21"/>
        <v>Kentucky|Santa Clara</v>
      </c>
      <c r="AE39" s="5" t="s">
        <v>164</v>
      </c>
      <c r="AF39" s="5" t="s">
        <v>134</v>
      </c>
      <c r="AG39" s="5" t="s">
        <v>123</v>
      </c>
      <c r="AH39" s="10" t="b">
        <f t="shared" si="22"/>
        <v>1</v>
      </c>
      <c r="AI39" s="5" t="str">
        <f t="array" ref="AI39">IFERROR(INDEX(Matchups!$N$2:$N$64,MATCH($AE39,Matchups!$A$2:$A$64,0)),"")</f>
        <v>Santa Clara</v>
      </c>
      <c r="AJ39" s="7">
        <f t="array" ref="AJ39">IFERROR(INDEX(Matchups!$O$2:$O$64,MATCH($AE39,Matchups!$A$2:$A$64,0)),"")</f>
        <v>60.5</v>
      </c>
      <c r="AK39" s="5" t="str">
        <f t="array" ref="AK39">IFERROR(INDEX(Matchups!$T$2:$T$64,MATCH($AE39,Matchups!$A$2:$A$64,0)),"")</f>
        <v>ΔComposite=0.88; AdjNET Δ=3.4; 3PT Δ=2.2; TO Δ=4.9; REB Δ=5.1</v>
      </c>
      <c r="AL39" s="5" t="str">
        <f t="array" ref="AL39">IFERROR(INDEX(Matchups!$P$2:$P$64,MATCH($AE39,Matchups!$A$2:$A$64,0)),"")</f>
        <v>UPSET</v>
      </c>
      <c r="AM39" s="5" t="str">
        <f t="shared" si="23"/>
        <v>Yes</v>
      </c>
      <c r="AN39" s="5" t="str">
        <f t="shared" si="24"/>
        <v>G48</v>
      </c>
      <c r="AO39" s="5" t="str">
        <f t="shared" si="25"/>
        <v>Team 1</v>
      </c>
    </row>
    <row r="40" spans="1:41" ht="20" customHeight="1" x14ac:dyDescent="0.2">
      <c r="A40" s="5" t="s">
        <v>69</v>
      </c>
      <c r="B40" s="10">
        <f t="array" ref="B40">IFERROR(INDEX('Team Ratings'!$B$2:$B$73,MATCH($A40,'Team Ratings'!$A$2:$A$73,0)),"")</f>
        <v>10</v>
      </c>
      <c r="C40" s="10" t="str">
        <f t="array" ref="C40">IFERROR(INDEX('Team Ratings'!$C$2:$C$73,MATCH($A40,'Team Ratings'!$A$2:$A$73,0)),"")</f>
        <v>South</v>
      </c>
      <c r="D40" s="5" t="s">
        <v>66</v>
      </c>
      <c r="E40" s="10">
        <f t="array" ref="E40">IFERROR(INDEX('Team Ratings'!$B$2:$B$73,MATCH($D40,'Team Ratings'!$A$2:$A$73,0)),"")</f>
        <v>7</v>
      </c>
      <c r="F40" s="6">
        <f t="array" ref="F40">IFERROR(INDEX('Team Ratings'!$D$2:$D$73,MATCH($A40,'Team Ratings'!$A$2:$A$73,0)),"")</f>
        <v>0.87209999999999999</v>
      </c>
      <c r="G40" s="7">
        <f t="array" ref="G40">IFERROR(INDEX('Team Ratings'!$E$2:$E$73,MATCH($A40,'Team Ratings'!$A$2:$A$73,0)),"")</f>
        <v>119.9</v>
      </c>
      <c r="H40" s="7">
        <f t="array" ref="H40">IFERROR(INDEX('Team Ratings'!$F$2:$F$73,MATCH($A40,'Team Ratings'!$A$2:$A$73,0)),"")</f>
        <v>101.4</v>
      </c>
      <c r="I40" s="7">
        <f t="array" ref="I40">IFERROR(INDEX('Team Ratings'!$G$2:$G$73,MATCH($A40,'Team Ratings'!$A$2:$A$73,0)),"")</f>
        <v>18.5</v>
      </c>
      <c r="J40" s="7">
        <f t="array" ref="J40">IFERROR(INDEX('Team Ratings'!$H$2:$H$73,MATCH($A40,'Team Ratings'!$A$2:$A$73,0)),"")</f>
        <v>54.2</v>
      </c>
      <c r="K40" s="7">
        <f t="array" ref="K40">IFERROR(INDEX('Team Ratings'!$I$2:$I$73,MATCH($A40,'Team Ratings'!$A$2:$A$73,0)),"")</f>
        <v>50.8</v>
      </c>
      <c r="L40" s="7">
        <f t="array" ref="L40">IFERROR(INDEX('Team Ratings'!$J$2:$J$73,MATCH($A40,'Team Ratings'!$A$2:$A$73,0)),"")</f>
        <v>14.6</v>
      </c>
      <c r="M40" s="7">
        <f t="array" ref="M40">IFERROR(INDEX('Team Ratings'!$K$2:$K$73,MATCH($A40,'Team Ratings'!$A$2:$A$73,0)),"")</f>
        <v>18.3</v>
      </c>
      <c r="N40" s="7">
        <f t="array" ref="N40">IFERROR(INDEX('Team Ratings'!$L$2:$L$73,MATCH($A40,'Team Ratings'!$A$2:$A$73,0)),"")</f>
        <v>32.299999999999997</v>
      </c>
      <c r="O40" s="7">
        <f t="array" ref="O40">IFERROR(INDEX('Team Ratings'!$M$2:$M$73,MATCH($A40,'Team Ratings'!$A$2:$A$73,0)),"")</f>
        <v>32.5</v>
      </c>
      <c r="P40" s="7">
        <f t="array" ref="P40">IFERROR(INDEX('Team Ratings'!$N$2:$N$73,MATCH($A40,'Team Ratings'!$A$2:$A$73,0)),"")</f>
        <v>37.4</v>
      </c>
      <c r="Q40" s="7">
        <f t="array" ref="Q40">IFERROR(INDEX('Team Ratings'!$O$2:$O$73,MATCH($A40,'Team Ratings'!$A$2:$A$73,0)),"")</f>
        <v>36.200000000000003</v>
      </c>
      <c r="R40" s="7">
        <f t="array" ref="R40">IFERROR(INDEX('Team Ratings'!$P$2:$P$73,MATCH($A40,'Team Ratings'!$A$2:$A$73,0)),"")</f>
        <v>31.7</v>
      </c>
      <c r="S40" s="11">
        <f t="array" ref="S40">IFERROR(INDEX('Team Ratings'!$Q$2:$Q$73,MATCH($A40,'Team Ratings'!$A$2:$A$73,0)),0)</f>
        <v>0</v>
      </c>
      <c r="T40" s="7">
        <f t="array" ref="T40">IFERROR(INDEX('Team Ratings'!$R$2:$R$73,MATCH($A40,'Team Ratings'!$A$2:$A$73,0)),"")</f>
        <v>112.6</v>
      </c>
      <c r="U40" s="7">
        <f t="array" ref="U40">IFERROR(INDEX('Team Ratings'!$S$2:$S$73,MATCH($A40,'Team Ratings'!$A$2:$A$73,0)),"")</f>
        <v>102.5</v>
      </c>
      <c r="V40" s="7">
        <f t="shared" si="13"/>
        <v>10.099999999999994</v>
      </c>
      <c r="W40" s="7">
        <f t="shared" si="14"/>
        <v>-8.4000000000000057</v>
      </c>
      <c r="X40" s="7">
        <f t="shared" si="15"/>
        <v>16.399999999999999</v>
      </c>
      <c r="Y40" s="7">
        <f t="shared" si="16"/>
        <v>5</v>
      </c>
      <c r="Z40" s="7">
        <f t="shared" si="17"/>
        <v>1.9</v>
      </c>
      <c r="AA40" s="7">
        <f t="shared" si="18"/>
        <v>6.7</v>
      </c>
      <c r="AB40" s="7">
        <f t="shared" si="19"/>
        <v>3.68</v>
      </c>
      <c r="AC40" s="12">
        <f t="shared" si="20"/>
        <v>-5.9400000000000001E-2</v>
      </c>
      <c r="AD40" s="5" t="str">
        <f t="shared" si="21"/>
        <v>Saint Mary's|Texas A&amp;M</v>
      </c>
      <c r="AE40" s="5" t="s">
        <v>165</v>
      </c>
      <c r="AF40" s="5" t="s">
        <v>136</v>
      </c>
      <c r="AG40" s="5" t="s">
        <v>123</v>
      </c>
      <c r="AH40" s="10" t="b">
        <f t="shared" si="22"/>
        <v>1</v>
      </c>
      <c r="AI40" s="5" t="str">
        <f t="array" ref="AI40">IFERROR(INDEX(Matchups!$N$2:$N$64,MATCH($AE40,Matchups!$A$2:$A$64,0)),"")</f>
        <v>Saint Mary's</v>
      </c>
      <c r="AJ40" s="7">
        <f t="array" ref="AJ40">IFERROR(INDEX(Matchups!$O$2:$O$64,MATCH($AE40,Matchups!$A$2:$A$64,0)),"")</f>
        <v>52.1</v>
      </c>
      <c r="AK40" s="5" t="str">
        <f t="array" ref="AK40">IFERROR(INDEX(Matchups!$T$2:$T$64,MATCH($AE40,Matchups!$A$2:$A$64,0)),"")</f>
        <v>ΔComposite=0.17; AdjNET Δ=-4.2; 3PT Δ=-1.9; TO Δ=1.3; REB Δ=3.4</v>
      </c>
      <c r="AL40" s="5" t="str">
        <f t="array" ref="AL40">IFERROR(INDEX(Matchups!$P$2:$P$64,MATCH($AE40,Matchups!$A$2:$A$64,0)),"")</f>
        <v/>
      </c>
      <c r="AM40" s="5" t="str">
        <f t="shared" si="23"/>
        <v>No</v>
      </c>
      <c r="AN40" s="5" t="str">
        <f t="shared" si="24"/>
        <v/>
      </c>
      <c r="AO40" s="5" t="str">
        <f t="shared" si="25"/>
        <v/>
      </c>
    </row>
    <row r="41" spans="1:41" ht="20" customHeight="1" x14ac:dyDescent="0.2">
      <c r="A41" s="5" t="s">
        <v>49</v>
      </c>
      <c r="B41" s="10">
        <f t="array" ref="B41">IFERROR(INDEX('Team Ratings'!$B$2:$B$73,MATCH($A41,'Team Ratings'!$A$2:$A$73,0)),"")</f>
        <v>10</v>
      </c>
      <c r="C41" s="10" t="str">
        <f t="array" ref="C41">IFERROR(INDEX('Team Ratings'!$C$2:$C$73,MATCH($A41,'Team Ratings'!$A$2:$A$73,0)),"")</f>
        <v>West</v>
      </c>
      <c r="D41" s="5" t="s">
        <v>46</v>
      </c>
      <c r="E41" s="10">
        <f t="array" ref="E41">IFERROR(INDEX('Team Ratings'!$B$2:$B$73,MATCH($D41,'Team Ratings'!$A$2:$A$73,0)),"")</f>
        <v>7</v>
      </c>
      <c r="F41" s="6">
        <f t="array" ref="F41">IFERROR(INDEX('Team Ratings'!$D$2:$D$73,MATCH($A41,'Team Ratings'!$A$2:$A$73,0)),"")</f>
        <v>0.85150000000000003</v>
      </c>
      <c r="G41" s="7">
        <f t="array" ref="G41">IFERROR(INDEX('Team Ratings'!$E$2:$E$73,MATCH($A41,'Team Ratings'!$A$2:$A$73,0)),"")</f>
        <v>119.9</v>
      </c>
      <c r="H41" s="7">
        <f t="array" ref="H41">IFERROR(INDEX('Team Ratings'!$F$2:$F$73,MATCH($A41,'Team Ratings'!$A$2:$A$73,0)),"")</f>
        <v>103</v>
      </c>
      <c r="I41" s="7">
        <f t="array" ref="I41">IFERROR(INDEX('Team Ratings'!$G$2:$G$73,MATCH($A41,'Team Ratings'!$A$2:$A$73,0)),"")</f>
        <v>16.899999999999999</v>
      </c>
      <c r="J41" s="7">
        <f t="array" ref="J41">IFERROR(INDEX('Team Ratings'!$H$2:$H$73,MATCH($A41,'Team Ratings'!$A$2:$A$73,0)),"")</f>
        <v>55.3</v>
      </c>
      <c r="K41" s="7">
        <f t="array" ref="K41">IFERROR(INDEX('Team Ratings'!$I$2:$I$73,MATCH($A41,'Team Ratings'!$A$2:$A$73,0)),"")</f>
        <v>51.4</v>
      </c>
      <c r="L41" s="7">
        <f t="array" ref="L41">IFERROR(INDEX('Team Ratings'!$J$2:$J$73,MATCH($A41,'Team Ratings'!$A$2:$A$73,0)),"")</f>
        <v>18</v>
      </c>
      <c r="M41" s="7">
        <f t="array" ref="M41">IFERROR(INDEX('Team Ratings'!$K$2:$K$73,MATCH($A41,'Team Ratings'!$A$2:$A$73,0)),"")</f>
        <v>16.600000000000001</v>
      </c>
      <c r="N41" s="7">
        <f t="array" ref="N41">IFERROR(INDEX('Team Ratings'!$L$2:$L$73,MATCH($A41,'Team Ratings'!$A$2:$A$73,0)),"")</f>
        <v>35.5</v>
      </c>
      <c r="O41" s="7">
        <f t="array" ref="O41">IFERROR(INDEX('Team Ratings'!$M$2:$M$73,MATCH($A41,'Team Ratings'!$A$2:$A$73,0)),"")</f>
        <v>31.4</v>
      </c>
      <c r="P41" s="7">
        <f t="array" ref="P41">IFERROR(INDEX('Team Ratings'!$N$2:$N$73,MATCH($A41,'Team Ratings'!$A$2:$A$73,0)),"")</f>
        <v>42.5</v>
      </c>
      <c r="Q41" s="7">
        <f t="array" ref="Q41">IFERROR(INDEX('Team Ratings'!$O$2:$O$73,MATCH($A41,'Team Ratings'!$A$2:$A$73,0)),"")</f>
        <v>35</v>
      </c>
      <c r="R41" s="7">
        <f t="array" ref="R41">IFERROR(INDEX('Team Ratings'!$P$2:$P$73,MATCH($A41,'Team Ratings'!$A$2:$A$73,0)),"")</f>
        <v>36.5</v>
      </c>
      <c r="S41" s="11">
        <f t="array" ref="S41">IFERROR(INDEX('Team Ratings'!$Q$2:$Q$73,MATCH($A41,'Team Ratings'!$A$2:$A$73,0)),0)</f>
        <v>0</v>
      </c>
      <c r="T41" s="7">
        <f t="array" ref="T41">IFERROR(INDEX('Team Ratings'!$R$2:$R$73,MATCH($A41,'Team Ratings'!$A$2:$A$73,0)),"")</f>
        <v>111</v>
      </c>
      <c r="U41" s="7">
        <f t="array" ref="U41">IFERROR(INDEX('Team Ratings'!$S$2:$S$73,MATCH($A41,'Team Ratings'!$A$2:$A$73,0)),"")</f>
        <v>104.1</v>
      </c>
      <c r="V41" s="7">
        <f t="shared" si="13"/>
        <v>6.9000000000000057</v>
      </c>
      <c r="W41" s="7">
        <f t="shared" si="14"/>
        <v>-9.9999999999999929</v>
      </c>
      <c r="X41" s="7">
        <f t="shared" si="15"/>
        <v>14.4</v>
      </c>
      <c r="Y41" s="7">
        <f t="shared" si="16"/>
        <v>-0.4</v>
      </c>
      <c r="Z41" s="7">
        <f t="shared" si="17"/>
        <v>0.4</v>
      </c>
      <c r="AA41" s="7">
        <f t="shared" si="18"/>
        <v>6.8</v>
      </c>
      <c r="AB41" s="7">
        <f t="shared" si="19"/>
        <v>3.1</v>
      </c>
      <c r="AC41" s="12">
        <f t="shared" si="20"/>
        <v>-0.56399999999999995</v>
      </c>
      <c r="AD41" s="5" t="str">
        <f t="shared" si="21"/>
        <v>Miami FL|Missouri</v>
      </c>
      <c r="AE41" s="5" t="s">
        <v>166</v>
      </c>
      <c r="AF41" s="5" t="s">
        <v>138</v>
      </c>
      <c r="AG41" s="5" t="s">
        <v>123</v>
      </c>
      <c r="AH41" s="10" t="b">
        <f t="shared" si="22"/>
        <v>1</v>
      </c>
      <c r="AI41" s="5" t="str">
        <f t="array" ref="AI41">IFERROR(INDEX(Matchups!$N$2:$N$64,MATCH($AE41,Matchups!$A$2:$A$64,0)),"")</f>
        <v>Miami FL</v>
      </c>
      <c r="AJ41" s="7">
        <f t="array" ref="AJ41">IFERROR(INDEX(Matchups!$O$2:$O$64,MATCH($AE41,Matchups!$A$2:$A$64,0)),"")</f>
        <v>53.1</v>
      </c>
      <c r="AK41" s="5" t="str">
        <f t="array" ref="AK41">IFERROR(INDEX(Matchups!$T$2:$T$64,MATCH($AE41,Matchups!$A$2:$A$64,0)),"")</f>
        <v>ΔComposite=0.26; AdjNET Δ=5.5; 3PT Δ=-1.4; TO Δ=0; REB Δ=-3.6</v>
      </c>
      <c r="AL41" s="5" t="str">
        <f t="array" ref="AL41">IFERROR(INDEX(Matchups!$P$2:$P$64,MATCH($AE41,Matchups!$A$2:$A$64,0)),"")</f>
        <v/>
      </c>
      <c r="AM41" s="5" t="str">
        <f t="shared" si="23"/>
        <v>No</v>
      </c>
      <c r="AN41" s="5" t="str">
        <f t="shared" si="24"/>
        <v/>
      </c>
      <c r="AO41" s="5" t="str">
        <f t="shared" si="25"/>
        <v/>
      </c>
    </row>
    <row r="42" spans="1:41" ht="20" customHeight="1" x14ac:dyDescent="0.2">
      <c r="A42" s="5" t="s">
        <v>33</v>
      </c>
      <c r="B42" s="10">
        <f t="array" ref="B42">IFERROR(INDEX('Team Ratings'!$B$2:$B$73,MATCH($A42,'Team Ratings'!$A$2:$A$73,0)),"")</f>
        <v>11</v>
      </c>
      <c r="C42" s="10" t="str">
        <f t="array" ref="C42">IFERROR(INDEX('Team Ratings'!$C$2:$C$73,MATCH($A42,'Team Ratings'!$A$2:$A$73,0)),"")</f>
        <v>East</v>
      </c>
      <c r="D42" s="5" t="s">
        <v>28</v>
      </c>
      <c r="E42" s="10">
        <f t="array" ref="E42">IFERROR(INDEX('Team Ratings'!$B$2:$B$73,MATCH($D42,'Team Ratings'!$A$2:$A$73,0)),"")</f>
        <v>6</v>
      </c>
      <c r="F42" s="6">
        <f t="array" ref="F42">IFERROR(INDEX('Team Ratings'!$D$2:$D$73,MATCH($A42,'Team Ratings'!$A$2:$A$73,0)),"")</f>
        <v>0.83560000000000001</v>
      </c>
      <c r="G42" s="7">
        <f t="array" ref="G42">IFERROR(INDEX('Team Ratings'!$E$2:$E$73,MATCH($A42,'Team Ratings'!$A$2:$A$73,0)),"")</f>
        <v>116.8</v>
      </c>
      <c r="H42" s="7">
        <f t="array" ref="H42">IFERROR(INDEX('Team Ratings'!$F$2:$F$73,MATCH($A42,'Team Ratings'!$A$2:$A$73,0)),"")</f>
        <v>101.4</v>
      </c>
      <c r="I42" s="7">
        <f t="array" ref="I42">IFERROR(INDEX('Team Ratings'!$G$2:$G$73,MATCH($A42,'Team Ratings'!$A$2:$A$73,0)),"")</f>
        <v>15.4</v>
      </c>
      <c r="J42" s="7">
        <f t="array" ref="J42">IFERROR(INDEX('Team Ratings'!$H$2:$H$73,MATCH($A42,'Team Ratings'!$A$2:$A$73,0)),"")</f>
        <v>50.9</v>
      </c>
      <c r="K42" s="7">
        <f t="array" ref="K42">IFERROR(INDEX('Team Ratings'!$I$2:$I$73,MATCH($A42,'Team Ratings'!$A$2:$A$73,0)),"")</f>
        <v>48.4</v>
      </c>
      <c r="L42" s="7">
        <f t="array" ref="L42">IFERROR(INDEX('Team Ratings'!$J$2:$J$73,MATCH($A42,'Team Ratings'!$A$2:$A$73,0)),"")</f>
        <v>15.2</v>
      </c>
      <c r="M42" s="7">
        <f t="array" ref="M42">IFERROR(INDEX('Team Ratings'!$K$2:$K$73,MATCH($A42,'Team Ratings'!$A$2:$A$73,0)),"")</f>
        <v>18.8</v>
      </c>
      <c r="N42" s="7">
        <f t="array" ref="N42">IFERROR(INDEX('Team Ratings'!$L$2:$L$73,MATCH($A42,'Team Ratings'!$A$2:$A$73,0)),"")</f>
        <v>38.200000000000003</v>
      </c>
      <c r="O42" s="7">
        <f t="array" ref="O42">IFERROR(INDEX('Team Ratings'!$M$2:$M$73,MATCH($A42,'Team Ratings'!$A$2:$A$73,0)),"")</f>
        <v>31.8</v>
      </c>
      <c r="P42" s="7">
        <f t="array" ref="P42">IFERROR(INDEX('Team Ratings'!$N$2:$N$73,MATCH($A42,'Team Ratings'!$A$2:$A$73,0)),"")</f>
        <v>41.1</v>
      </c>
      <c r="Q42" s="7">
        <f t="array" ref="Q42">IFERROR(INDEX('Team Ratings'!$O$2:$O$73,MATCH($A42,'Team Ratings'!$A$2:$A$73,0)),"")</f>
        <v>33.1</v>
      </c>
      <c r="R42" s="7">
        <f t="array" ref="R42">IFERROR(INDEX('Team Ratings'!$P$2:$P$73,MATCH($A42,'Team Ratings'!$A$2:$A$73,0)),"")</f>
        <v>33.9</v>
      </c>
      <c r="S42" s="11">
        <f t="array" ref="S42">IFERROR(INDEX('Team Ratings'!$Q$2:$Q$73,MATCH($A42,'Team Ratings'!$A$2:$A$73,0)),0)</f>
        <v>0</v>
      </c>
      <c r="T42" s="7">
        <f t="array" ref="T42">IFERROR(INDEX('Team Ratings'!$R$2:$R$73,MATCH($A42,'Team Ratings'!$A$2:$A$73,0)),"")</f>
        <v>116.9</v>
      </c>
      <c r="U42" s="7">
        <f t="array" ref="U42">IFERROR(INDEX('Team Ratings'!$S$2:$S$73,MATCH($A42,'Team Ratings'!$A$2:$A$73,0)),"")</f>
        <v>95.3</v>
      </c>
      <c r="V42" s="7">
        <f t="shared" si="13"/>
        <v>21.600000000000009</v>
      </c>
      <c r="W42" s="7">
        <f t="shared" si="14"/>
        <v>6.2000000000000082</v>
      </c>
      <c r="X42" s="7">
        <f t="shared" si="15"/>
        <v>16.95</v>
      </c>
      <c r="Y42" s="7">
        <f t="shared" si="16"/>
        <v>0.4</v>
      </c>
      <c r="Z42" s="7">
        <f t="shared" si="17"/>
        <v>2.4</v>
      </c>
      <c r="AA42" s="7">
        <f t="shared" si="18"/>
        <v>10</v>
      </c>
      <c r="AB42" s="7">
        <f t="shared" si="19"/>
        <v>4.8099999999999996</v>
      </c>
      <c r="AC42" s="12">
        <f t="shared" si="20"/>
        <v>0.1719</v>
      </c>
      <c r="AD42" s="5" t="str">
        <f t="shared" si="21"/>
        <v>Louisville|South Florida</v>
      </c>
      <c r="AE42" s="5" t="s">
        <v>159</v>
      </c>
      <c r="AF42" s="5" t="s">
        <v>140</v>
      </c>
      <c r="AG42" s="5" t="s">
        <v>123</v>
      </c>
      <c r="AH42" s="10" t="b">
        <f t="shared" si="22"/>
        <v>1</v>
      </c>
      <c r="AI42" s="5" t="str">
        <f t="array" ref="AI42">IFERROR(INDEX(Matchups!$N$2:$N$64,MATCH($AE42,Matchups!$A$2:$A$64,0)),"")</f>
        <v>South Florida</v>
      </c>
      <c r="AJ42" s="7">
        <f t="array" ref="AJ42">IFERROR(INDEX(Matchups!$O$2:$O$64,MATCH($AE42,Matchups!$A$2:$A$64,0)),"")</f>
        <v>54.1</v>
      </c>
      <c r="AK42" s="5" t="str">
        <f t="array" ref="AK42">IFERROR(INDEX(Matchups!$T$2:$T$64,MATCH($AE42,Matchups!$A$2:$A$64,0)),"")</f>
        <v>ΔComposite=0.34; AdjNET Δ=8.9; 3PT Δ=1.4; TO Δ=-0.9; REB Δ=-10</v>
      </c>
      <c r="AL42" s="5" t="str">
        <f t="array" ref="AL42">IFERROR(INDEX(Matchups!$P$2:$P$64,MATCH($AE42,Matchups!$A$2:$A$64,0)),"")</f>
        <v>UPSET</v>
      </c>
      <c r="AM42" s="5" t="str">
        <f t="shared" si="23"/>
        <v>Yes</v>
      </c>
      <c r="AN42" s="5" t="str">
        <f t="shared" si="24"/>
        <v>G35</v>
      </c>
      <c r="AO42" s="5" t="str">
        <f t="shared" si="25"/>
        <v>Team 1</v>
      </c>
    </row>
    <row r="43" spans="1:41" ht="20" customHeight="1" x14ac:dyDescent="0.2">
      <c r="A43" s="5" t="s">
        <v>89</v>
      </c>
      <c r="B43" s="10">
        <f t="array" ref="B43">IFERROR(INDEX('Team Ratings'!$B$2:$B$73,MATCH($A43,'Team Ratings'!$A$2:$A$73,0)),"")</f>
        <v>11</v>
      </c>
      <c r="C43" s="10" t="str">
        <f t="array" ref="C43">IFERROR(INDEX('Team Ratings'!$C$2:$C$73,MATCH($A43,'Team Ratings'!$A$2:$A$73,0)),"")</f>
        <v>Midwest</v>
      </c>
      <c r="D43" s="5" t="s">
        <v>84</v>
      </c>
      <c r="E43" s="10">
        <f t="array" ref="E43">IFERROR(INDEX('Team Ratings'!$B$2:$B$73,MATCH($D43,'Team Ratings'!$A$2:$A$73,0)),"")</f>
        <v>6</v>
      </c>
      <c r="F43" s="6">
        <f t="array" ref="F43">IFERROR(INDEX('Team Ratings'!$D$2:$D$73,MATCH($A43,'Team Ratings'!$A$2:$A$73,0)),"")</f>
        <v>0.71750000000000003</v>
      </c>
      <c r="G43" s="7">
        <f t="array" ref="G43">IFERROR(INDEX('Team Ratings'!$E$2:$E$73,MATCH($A43,'Team Ratings'!$A$2:$A$73,0)),"")</f>
        <v>116.7</v>
      </c>
      <c r="H43" s="7">
        <f t="array" ref="H43">IFERROR(INDEX('Team Ratings'!$F$2:$F$73,MATCH($A43,'Team Ratings'!$A$2:$A$73,0)),"")</f>
        <v>107.6</v>
      </c>
      <c r="I43" s="7">
        <f t="array" ref="I43">IFERROR(INDEX('Team Ratings'!$G$2:$G$73,MATCH($A43,'Team Ratings'!$A$2:$A$73,0)),"")</f>
        <v>9.1</v>
      </c>
      <c r="J43" s="7">
        <f t="array" ref="J43">IFERROR(INDEX('Team Ratings'!$H$2:$H$73,MATCH($A43,'Team Ratings'!$A$2:$A$73,0)),"")</f>
        <v>59.2</v>
      </c>
      <c r="K43" s="7">
        <f t="array" ref="K43">IFERROR(INDEX('Team Ratings'!$I$2:$I$73,MATCH($A43,'Team Ratings'!$A$2:$A$73,0)),"")</f>
        <v>50.8</v>
      </c>
      <c r="L43" s="7">
        <f t="array" ref="L43">IFERROR(INDEX('Team Ratings'!$J$2:$J$73,MATCH($A43,'Team Ratings'!$A$2:$A$73,0)),"")</f>
        <v>14.5</v>
      </c>
      <c r="M43" s="7">
        <f t="array" ref="M43">IFERROR(INDEX('Team Ratings'!$K$2:$K$73,MATCH($A43,'Team Ratings'!$A$2:$A$73,0)),"")</f>
        <v>17.5</v>
      </c>
      <c r="N43" s="7">
        <f t="array" ref="N43">IFERROR(INDEX('Team Ratings'!$L$2:$L$73,MATCH($A43,'Team Ratings'!$A$2:$A$73,0)),"")</f>
        <v>25.3</v>
      </c>
      <c r="O43" s="7">
        <f t="array" ref="O43">IFERROR(INDEX('Team Ratings'!$M$2:$M$73,MATCH($A43,'Team Ratings'!$A$2:$A$73,0)),"")</f>
        <v>28.1</v>
      </c>
      <c r="P43" s="7">
        <f t="array" ref="P43">IFERROR(INDEX('Team Ratings'!$N$2:$N$73,MATCH($A43,'Team Ratings'!$A$2:$A$73,0)),"")</f>
        <v>40.200000000000003</v>
      </c>
      <c r="Q43" s="7">
        <f t="array" ref="Q43">IFERROR(INDEX('Team Ratings'!$O$2:$O$73,MATCH($A43,'Team Ratings'!$A$2:$A$73,0)),"")</f>
        <v>37.5</v>
      </c>
      <c r="R43" s="7">
        <f t="array" ref="R43">IFERROR(INDEX('Team Ratings'!$P$2:$P$73,MATCH($A43,'Team Ratings'!$A$2:$A$73,0)),"")</f>
        <v>33</v>
      </c>
      <c r="S43" s="11">
        <f t="array" ref="S43">IFERROR(INDEX('Team Ratings'!$Q$2:$Q$73,MATCH($A43,'Team Ratings'!$A$2:$A$73,0)),0)</f>
        <v>0</v>
      </c>
      <c r="T43" s="7">
        <f t="array" ref="T43">IFERROR(INDEX('Team Ratings'!$R$2:$R$73,MATCH($A43,'Team Ratings'!$A$2:$A$73,0)),"")</f>
        <v>119.3</v>
      </c>
      <c r="U43" s="7">
        <f t="array" ref="U43">IFERROR(INDEX('Team Ratings'!$S$2:$S$73,MATCH($A43,'Team Ratings'!$A$2:$A$73,0)),"")</f>
        <v>116.2</v>
      </c>
      <c r="V43" s="7">
        <f t="shared" si="13"/>
        <v>3.0999999999999943</v>
      </c>
      <c r="W43" s="7">
        <f t="shared" si="14"/>
        <v>-6.0000000000000053</v>
      </c>
      <c r="X43" s="7">
        <f t="shared" si="15"/>
        <v>7.6</v>
      </c>
      <c r="Y43" s="7">
        <f t="shared" si="16"/>
        <v>6.9</v>
      </c>
      <c r="Z43" s="7">
        <f t="shared" si="17"/>
        <v>0.4</v>
      </c>
      <c r="AA43" s="7">
        <f t="shared" si="18"/>
        <v>0</v>
      </c>
      <c r="AB43" s="7">
        <f t="shared" si="19"/>
        <v>2.89</v>
      </c>
      <c r="AC43" s="12">
        <f t="shared" si="20"/>
        <v>-0.46510000000000001</v>
      </c>
      <c r="AD43" s="5" t="str">
        <f t="shared" si="21"/>
        <v>Miami OH|Tennessee</v>
      </c>
      <c r="AE43" s="5" t="s">
        <v>160</v>
      </c>
      <c r="AF43" s="5" t="s">
        <v>142</v>
      </c>
      <c r="AG43" s="5" t="s">
        <v>123</v>
      </c>
      <c r="AH43" s="10" t="b">
        <f t="shared" si="22"/>
        <v>1</v>
      </c>
      <c r="AI43" s="5" t="str">
        <f t="array" ref="AI43">IFERROR(INDEX(Matchups!$N$2:$N$64,MATCH($AE43,Matchups!$A$2:$A$64,0)),"")</f>
        <v>Tennessee</v>
      </c>
      <c r="AJ43" s="7">
        <f t="array" ref="AJ43">IFERROR(INDEX(Matchups!$O$2:$O$64,MATCH($AE43,Matchups!$A$2:$A$64,0)),"")</f>
        <v>57.9</v>
      </c>
      <c r="AK43" s="5" t="str">
        <f t="array" ref="AK43">IFERROR(INDEX(Matchups!$T$2:$T$64,MATCH($AE43,Matchups!$A$2:$A$64,0)),"")</f>
        <v>ΔComposite=0.66; AdjNET Δ=-17.6; 3PT Δ=6.5; TO Δ=-1.4; REB Δ=-10</v>
      </c>
      <c r="AL43" s="5" t="str">
        <f t="array" ref="AL43">IFERROR(INDEX(Matchups!$P$2:$P$64,MATCH($AE43,Matchups!$A$2:$A$64,0)),"")</f>
        <v/>
      </c>
      <c r="AM43" s="5" t="str">
        <f t="shared" si="23"/>
        <v>No</v>
      </c>
      <c r="AN43" s="5" t="str">
        <f t="shared" si="24"/>
        <v/>
      </c>
      <c r="AO43" s="5" t="str">
        <f t="shared" si="25"/>
        <v/>
      </c>
    </row>
    <row r="44" spans="1:41" ht="20" customHeight="1" x14ac:dyDescent="0.2">
      <c r="A44" s="5" t="s">
        <v>70</v>
      </c>
      <c r="B44" s="10">
        <f t="array" ref="B44">IFERROR(INDEX('Team Ratings'!$B$2:$B$73,MATCH($A44,'Team Ratings'!$A$2:$A$73,0)),"")</f>
        <v>11</v>
      </c>
      <c r="C44" s="10" t="str">
        <f t="array" ref="C44">IFERROR(INDEX('Team Ratings'!$C$2:$C$73,MATCH($A44,'Team Ratings'!$A$2:$A$73,0)),"")</f>
        <v>South</v>
      </c>
      <c r="D44" s="5" t="s">
        <v>65</v>
      </c>
      <c r="E44" s="10">
        <f t="array" ref="E44">IFERROR(INDEX('Team Ratings'!$B$2:$B$73,MATCH($D44,'Team Ratings'!$A$2:$A$73,0)),"")</f>
        <v>6</v>
      </c>
      <c r="F44" s="6">
        <f t="array" ref="F44">IFERROR(INDEX('Team Ratings'!$D$2:$D$73,MATCH($A44,'Team Ratings'!$A$2:$A$73,0)),"")</f>
        <v>0.84330000000000005</v>
      </c>
      <c r="G44" s="7">
        <f t="array" ref="G44">IFERROR(INDEX('Team Ratings'!$E$2:$E$73,MATCH($A44,'Team Ratings'!$A$2:$A$73,0)),"")</f>
        <v>119.3</v>
      </c>
      <c r="H44" s="7">
        <f t="array" ref="H44">IFERROR(INDEX('Team Ratings'!$F$2:$F$73,MATCH($A44,'Team Ratings'!$A$2:$A$73,0)),"")</f>
        <v>103</v>
      </c>
      <c r="I44" s="7">
        <f t="array" ref="I44">IFERROR(INDEX('Team Ratings'!$G$2:$G$73,MATCH($A44,'Team Ratings'!$A$2:$A$73,0)),"")</f>
        <v>16.3</v>
      </c>
      <c r="J44" s="7">
        <f t="array" ref="J44">IFERROR(INDEX('Team Ratings'!$H$2:$H$73,MATCH($A44,'Team Ratings'!$A$2:$A$73,0)),"")</f>
        <v>54.1</v>
      </c>
      <c r="K44" s="7">
        <f t="array" ref="K44">IFERROR(INDEX('Team Ratings'!$I$2:$I$73,MATCH($A44,'Team Ratings'!$A$2:$A$73,0)),"")</f>
        <v>48.9</v>
      </c>
      <c r="L44" s="7">
        <f t="array" ref="L44">IFERROR(INDEX('Team Ratings'!$J$2:$J$73,MATCH($A44,'Team Ratings'!$A$2:$A$73,0)),"")</f>
        <v>15.2</v>
      </c>
      <c r="M44" s="7">
        <f t="array" ref="M44">IFERROR(INDEX('Team Ratings'!$K$2:$K$73,MATCH($A44,'Team Ratings'!$A$2:$A$73,0)),"")</f>
        <v>17.2</v>
      </c>
      <c r="N44" s="7">
        <f t="array" ref="N44">IFERROR(INDEX('Team Ratings'!$L$2:$L$73,MATCH($A44,'Team Ratings'!$A$2:$A$73,0)),"")</f>
        <v>32.299999999999997</v>
      </c>
      <c r="O44" s="7">
        <f t="array" ref="O44">IFERROR(INDEX('Team Ratings'!$M$2:$M$73,MATCH($A44,'Team Ratings'!$A$2:$A$73,0)),"")</f>
        <v>29.9</v>
      </c>
      <c r="P44" s="7">
        <f t="array" ref="P44">IFERROR(INDEX('Team Ratings'!$N$2:$N$73,MATCH($A44,'Team Ratings'!$A$2:$A$73,0)),"")</f>
        <v>43.7</v>
      </c>
      <c r="Q44" s="7">
        <f t="array" ref="Q44">IFERROR(INDEX('Team Ratings'!$O$2:$O$73,MATCH($A44,'Team Ratings'!$A$2:$A$73,0)),"")</f>
        <v>36.700000000000003</v>
      </c>
      <c r="R44" s="7">
        <f t="array" ref="R44">IFERROR(INDEX('Team Ratings'!$P$2:$P$73,MATCH($A44,'Team Ratings'!$A$2:$A$73,0)),"")</f>
        <v>33.1</v>
      </c>
      <c r="S44" s="11">
        <f t="array" ref="S44">IFERROR(INDEX('Team Ratings'!$Q$2:$Q$73,MATCH($A44,'Team Ratings'!$A$2:$A$73,0)),0)</f>
        <v>0</v>
      </c>
      <c r="T44" s="7">
        <f t="array" ref="T44">IFERROR(INDEX('Team Ratings'!$R$2:$R$73,MATCH($A44,'Team Ratings'!$A$2:$A$73,0)),"")</f>
        <v>120.7</v>
      </c>
      <c r="U44" s="7">
        <f t="array" ref="U44">IFERROR(INDEX('Team Ratings'!$S$2:$S$73,MATCH($A44,'Team Ratings'!$A$2:$A$73,0)),"")</f>
        <v>99.2</v>
      </c>
      <c r="V44" s="7">
        <f t="shared" si="13"/>
        <v>21.5</v>
      </c>
      <c r="W44" s="7">
        <f t="shared" si="14"/>
        <v>5.1999999999999993</v>
      </c>
      <c r="X44" s="7">
        <f t="shared" si="15"/>
        <v>17.600000000000001</v>
      </c>
      <c r="Y44" s="7">
        <f t="shared" si="16"/>
        <v>2.2000000000000002</v>
      </c>
      <c r="Z44" s="7">
        <f t="shared" si="17"/>
        <v>3.2</v>
      </c>
      <c r="AA44" s="7">
        <f t="shared" si="18"/>
        <v>6.35</v>
      </c>
      <c r="AB44" s="7">
        <f t="shared" si="19"/>
        <v>4.8</v>
      </c>
      <c r="AC44" s="12">
        <f t="shared" si="20"/>
        <v>0.18229999999999999</v>
      </c>
      <c r="AD44" s="5" t="str">
        <f t="shared" si="21"/>
        <v>North Carolina|VCU</v>
      </c>
      <c r="AE44" s="5" t="s">
        <v>161</v>
      </c>
      <c r="AF44" s="5" t="s">
        <v>144</v>
      </c>
      <c r="AG44" s="5" t="s">
        <v>123</v>
      </c>
      <c r="AH44" s="10" t="b">
        <f t="shared" si="22"/>
        <v>1</v>
      </c>
      <c r="AI44" s="5" t="str">
        <f t="array" ref="AI44">IFERROR(INDEX(Matchups!$N$2:$N$64,MATCH($AE44,Matchups!$A$2:$A$64,0)),"")</f>
        <v>VCU</v>
      </c>
      <c r="AJ44" s="7">
        <f t="array" ref="AJ44">IFERROR(INDEX(Matchups!$O$2:$O$64,MATCH($AE44,Matchups!$A$2:$A$64,0)),"")</f>
        <v>58.3</v>
      </c>
      <c r="AK44" s="5" t="str">
        <f t="array" ref="AK44">IFERROR(INDEX(Matchups!$T$2:$T$64,MATCH($AE44,Matchups!$A$2:$A$64,0)),"")</f>
        <v>ΔComposite=0.7; AdjNET Δ=-2.7; 3PT Δ=0.8; TO Δ=4.8; REB Δ=2.7</v>
      </c>
      <c r="AL44" s="5" t="str">
        <f t="array" ref="AL44">IFERROR(INDEX(Matchups!$P$2:$P$64,MATCH($AE44,Matchups!$A$2:$A$64,0)),"")</f>
        <v>UPSET</v>
      </c>
      <c r="AM44" s="5" t="str">
        <f t="shared" si="23"/>
        <v>Yes</v>
      </c>
      <c r="AN44" s="5" t="str">
        <f t="shared" si="24"/>
        <v>G43</v>
      </c>
      <c r="AO44" s="5" t="str">
        <f t="shared" si="25"/>
        <v>Team 1</v>
      </c>
    </row>
    <row r="45" spans="1:41" ht="20" customHeight="1" x14ac:dyDescent="0.2">
      <c r="A45" s="5" t="s">
        <v>53</v>
      </c>
      <c r="B45" s="10">
        <f t="array" ref="B45">IFERROR(INDEX('Team Ratings'!$B$2:$B$73,MATCH($A45,'Team Ratings'!$A$2:$A$73,0)),"")</f>
        <v>11</v>
      </c>
      <c r="C45" s="10" t="str">
        <f t="array" ref="C45">IFERROR(INDEX('Team Ratings'!$C$2:$C$73,MATCH($A45,'Team Ratings'!$A$2:$A$73,0)),"")</f>
        <v>West</v>
      </c>
      <c r="D45" s="5" t="s">
        <v>45</v>
      </c>
      <c r="E45" s="10">
        <f t="array" ref="E45">IFERROR(INDEX('Team Ratings'!$B$2:$B$73,MATCH($D45,'Team Ratings'!$A$2:$A$73,0)),"")</f>
        <v>6</v>
      </c>
      <c r="F45" s="6">
        <f t="array" ref="F45">IFERROR(INDEX('Team Ratings'!$D$2:$D$73,MATCH($A45,'Team Ratings'!$A$2:$A$73,0)),"")</f>
        <v>0.85360000000000003</v>
      </c>
      <c r="G45" s="7">
        <f t="array" ref="G45">IFERROR(INDEX('Team Ratings'!$E$2:$E$73,MATCH($A45,'Team Ratings'!$A$2:$A$73,0)),"")</f>
        <v>124</v>
      </c>
      <c r="H45" s="7">
        <f t="array" ref="H45">IFERROR(INDEX('Team Ratings'!$F$2:$F$73,MATCH($A45,'Team Ratings'!$A$2:$A$73,0)),"")</f>
        <v>106.4</v>
      </c>
      <c r="I45" s="7">
        <f t="array" ref="I45">IFERROR(INDEX('Team Ratings'!$G$2:$G$73,MATCH($A45,'Team Ratings'!$A$2:$A$73,0)),"")</f>
        <v>17.600000000000001</v>
      </c>
      <c r="J45" s="7">
        <f t="array" ref="J45">IFERROR(INDEX('Team Ratings'!$H$2:$H$73,MATCH($A45,'Team Ratings'!$A$2:$A$73,0)),"")</f>
        <v>54.2</v>
      </c>
      <c r="K45" s="7">
        <f t="array" ref="K45">IFERROR(INDEX('Team Ratings'!$I$2:$I$73,MATCH($A45,'Team Ratings'!$A$2:$A$73,0)),"")</f>
        <v>51.2</v>
      </c>
      <c r="L45" s="7">
        <f t="array" ref="L45">IFERROR(INDEX('Team Ratings'!$J$2:$J$73,MATCH($A45,'Team Ratings'!$A$2:$A$73,0)),"")</f>
        <v>15.3</v>
      </c>
      <c r="M45" s="7">
        <f t="array" ref="M45">IFERROR(INDEX('Team Ratings'!$K$2:$K$73,MATCH($A45,'Team Ratings'!$A$2:$A$73,0)),"")</f>
        <v>13.4</v>
      </c>
      <c r="N45" s="7">
        <f t="array" ref="N45">IFERROR(INDEX('Team Ratings'!$L$2:$L$73,MATCH($A45,'Team Ratings'!$A$2:$A$73,0)),"")</f>
        <v>35.700000000000003</v>
      </c>
      <c r="O45" s="7">
        <f t="array" ref="O45">IFERROR(INDEX('Team Ratings'!$M$2:$M$73,MATCH($A45,'Team Ratings'!$A$2:$A$73,0)),"")</f>
        <v>26.9</v>
      </c>
      <c r="P45" s="7">
        <f t="array" ref="P45">IFERROR(INDEX('Team Ratings'!$N$2:$N$73,MATCH($A45,'Team Ratings'!$A$2:$A$73,0)),"")</f>
        <v>46.2</v>
      </c>
      <c r="Q45" s="7">
        <f t="array" ref="Q45">IFERROR(INDEX('Team Ratings'!$O$2:$O$73,MATCH($A45,'Team Ratings'!$A$2:$A$73,0)),"")</f>
        <v>34.9</v>
      </c>
      <c r="R45" s="7">
        <f t="array" ref="R45">IFERROR(INDEX('Team Ratings'!$P$2:$P$73,MATCH($A45,'Team Ratings'!$A$2:$A$73,0)),"")</f>
        <v>36</v>
      </c>
      <c r="S45" s="11">
        <f t="array" ref="S45">IFERROR(INDEX('Team Ratings'!$Q$2:$Q$73,MATCH($A45,'Team Ratings'!$A$2:$A$73,0)),0)</f>
        <v>0</v>
      </c>
      <c r="T45" s="7">
        <f t="array" ref="T45">IFERROR(INDEX('Team Ratings'!$R$2:$R$73,MATCH($A45,'Team Ratings'!$A$2:$A$73,0)),"")</f>
        <v>108.8</v>
      </c>
      <c r="U45" s="7">
        <f t="array" ref="U45">IFERROR(INDEX('Team Ratings'!$S$2:$S$73,MATCH($A45,'Team Ratings'!$A$2:$A$73,0)),"")</f>
        <v>106.3</v>
      </c>
      <c r="V45" s="7">
        <f t="shared" si="13"/>
        <v>2.5</v>
      </c>
      <c r="W45" s="7">
        <f t="shared" si="14"/>
        <v>-15.100000000000001</v>
      </c>
      <c r="X45" s="7">
        <f t="shared" si="15"/>
        <v>13.824999999999999</v>
      </c>
      <c r="Y45" s="7">
        <f t="shared" si="16"/>
        <v>-0.4</v>
      </c>
      <c r="Z45" s="7">
        <f t="shared" si="17"/>
        <v>-1.9</v>
      </c>
      <c r="AA45" s="7">
        <f t="shared" si="18"/>
        <v>4.3499999999999996</v>
      </c>
      <c r="AB45" s="7">
        <f t="shared" si="19"/>
        <v>2.84</v>
      </c>
      <c r="AC45" s="12">
        <f t="shared" si="20"/>
        <v>-0.87160000000000004</v>
      </c>
      <c r="AD45" s="5" t="str">
        <f t="shared" si="21"/>
        <v>BYU|Texas</v>
      </c>
      <c r="AE45" s="5" t="s">
        <v>162</v>
      </c>
      <c r="AF45" s="5" t="s">
        <v>146</v>
      </c>
      <c r="AG45" s="5" t="s">
        <v>123</v>
      </c>
      <c r="AH45" s="10" t="b">
        <f t="shared" si="22"/>
        <v>1</v>
      </c>
      <c r="AI45" s="5" t="str">
        <f t="array" ref="AI45">IFERROR(INDEX(Matchups!$N$2:$N$64,MATCH($AE45,Matchups!$A$2:$A$64,0)),"")</f>
        <v>BYU</v>
      </c>
      <c r="AJ45" s="7">
        <f t="array" ref="AJ45">IFERROR(INDEX(Matchups!$O$2:$O$64,MATCH($AE45,Matchups!$A$2:$A$64,0)),"")</f>
        <v>58.8</v>
      </c>
      <c r="AK45" s="5" t="str">
        <f t="array" ref="AK45">IFERROR(INDEX(Matchups!$T$2:$T$64,MATCH($AE45,Matchups!$A$2:$A$64,0)),"")</f>
        <v>ΔComposite=0.73; AdjNET Δ=6.8; 3PT Δ=-0.7; TO Δ=3.1; REB Δ=1.3</v>
      </c>
      <c r="AL45" s="5" t="str">
        <f t="array" ref="AL45">IFERROR(INDEX(Matchups!$P$2:$P$64,MATCH($AE45,Matchups!$A$2:$A$64,0)),"")</f>
        <v/>
      </c>
      <c r="AM45" s="5" t="str">
        <f t="shared" si="23"/>
        <v>No</v>
      </c>
      <c r="AN45" s="5" t="str">
        <f t="shared" si="24"/>
        <v/>
      </c>
      <c r="AO45" s="5" t="str">
        <f t="shared" si="25"/>
        <v/>
      </c>
    </row>
    <row r="46" spans="1:41" ht="20" customHeight="1" x14ac:dyDescent="0.2">
      <c r="A46" s="5" t="s">
        <v>34</v>
      </c>
      <c r="B46" s="10">
        <f t="array" ref="B46">IFERROR(INDEX('Team Ratings'!$B$2:$B$73,MATCH($A46,'Team Ratings'!$A$2:$A$73,0)),"")</f>
        <v>12</v>
      </c>
      <c r="C46" s="10" t="str">
        <f t="array" ref="C46">IFERROR(INDEX('Team Ratings'!$C$2:$C$73,MATCH($A46,'Team Ratings'!$A$2:$A$73,0)),"")</f>
        <v>East</v>
      </c>
      <c r="D46" s="5" t="s">
        <v>27</v>
      </c>
      <c r="E46" s="10">
        <f t="array" ref="E46">IFERROR(INDEX('Team Ratings'!$B$2:$B$73,MATCH($D46,'Team Ratings'!$A$2:$A$73,0)),"")</f>
        <v>5</v>
      </c>
      <c r="F46" s="6">
        <f t="array" ref="F46">IFERROR(INDEX('Team Ratings'!$D$2:$D$73,MATCH($A46,'Team Ratings'!$A$2:$A$73,0)),"")</f>
        <v>0.7752</v>
      </c>
      <c r="G46" s="7">
        <f t="array" ref="G46">IFERROR(INDEX('Team Ratings'!$E$2:$E$73,MATCH($A46,'Team Ratings'!$A$2:$A$73,0)),"")</f>
        <v>109.8</v>
      </c>
      <c r="H46" s="7">
        <f t="array" ref="H46">IFERROR(INDEX('Team Ratings'!$F$2:$F$73,MATCH($A46,'Team Ratings'!$A$2:$A$73,0)),"")</f>
        <v>98.6</v>
      </c>
      <c r="I46" s="7">
        <f t="array" ref="I46">IFERROR(INDEX('Team Ratings'!$G$2:$G$73,MATCH($A46,'Team Ratings'!$A$2:$A$73,0)),"")</f>
        <v>11.2</v>
      </c>
      <c r="J46" s="7">
        <f t="array" ref="J46">IFERROR(INDEX('Team Ratings'!$H$2:$H$73,MATCH($A46,'Team Ratings'!$A$2:$A$73,0)),"")</f>
        <v>54.2</v>
      </c>
      <c r="K46" s="7">
        <f t="array" ref="K46">IFERROR(INDEX('Team Ratings'!$I$2:$I$73,MATCH($A46,'Team Ratings'!$A$2:$A$73,0)),"")</f>
        <v>47.2</v>
      </c>
      <c r="L46" s="7">
        <f t="array" ref="L46">IFERROR(INDEX('Team Ratings'!$J$2:$J$73,MATCH($A46,'Team Ratings'!$A$2:$A$73,0)),"")</f>
        <v>14.6</v>
      </c>
      <c r="M46" s="7">
        <f t="array" ref="M46">IFERROR(INDEX('Team Ratings'!$K$2:$K$73,MATCH($A46,'Team Ratings'!$A$2:$A$73,0)),"")</f>
        <v>18.100000000000001</v>
      </c>
      <c r="N46" s="7">
        <f t="array" ref="N46">IFERROR(INDEX('Team Ratings'!$L$2:$L$73,MATCH($A46,'Team Ratings'!$A$2:$A$73,0)),"")</f>
        <v>22</v>
      </c>
      <c r="O46" s="7">
        <f t="array" ref="O46">IFERROR(INDEX('Team Ratings'!$M$2:$M$73,MATCH($A46,'Team Ratings'!$A$2:$A$73,0)),"")</f>
        <v>26.3</v>
      </c>
      <c r="P46" s="7">
        <f t="array" ref="P46">IFERROR(INDEX('Team Ratings'!$N$2:$N$73,MATCH($A46,'Team Ratings'!$A$2:$A$73,0)),"")</f>
        <v>25.7</v>
      </c>
      <c r="Q46" s="7">
        <f t="array" ref="Q46">IFERROR(INDEX('Team Ratings'!$O$2:$O$73,MATCH($A46,'Team Ratings'!$A$2:$A$73,0)),"")</f>
        <v>34.9</v>
      </c>
      <c r="R46" s="7">
        <f t="array" ref="R46">IFERROR(INDEX('Team Ratings'!$P$2:$P$73,MATCH($A46,'Team Ratings'!$A$2:$A$73,0)),"")</f>
        <v>28.9</v>
      </c>
      <c r="S46" s="11">
        <f t="array" ref="S46">IFERROR(INDEX('Team Ratings'!$Q$2:$Q$73,MATCH($A46,'Team Ratings'!$A$2:$A$73,0)),0)</f>
        <v>0</v>
      </c>
      <c r="T46" s="7">
        <f t="array" ref="T46">IFERROR(INDEX('Team Ratings'!$R$2:$R$73,MATCH($A46,'Team Ratings'!$A$2:$A$73,0)),"")</f>
        <v>120.9</v>
      </c>
      <c r="U46" s="7">
        <f t="array" ref="U46">IFERROR(INDEX('Team Ratings'!$S$2:$S$73,MATCH($A46,'Team Ratings'!$A$2:$A$73,0)),"")</f>
        <v>99</v>
      </c>
      <c r="V46" s="7">
        <f t="shared" si="13"/>
        <v>21.900000000000006</v>
      </c>
      <c r="W46" s="7">
        <f t="shared" si="14"/>
        <v>10.700000000000006</v>
      </c>
      <c r="X46" s="7">
        <f t="shared" si="15"/>
        <v>13.875</v>
      </c>
      <c r="Y46" s="7">
        <f t="shared" si="16"/>
        <v>3.6</v>
      </c>
      <c r="Z46" s="7">
        <f t="shared" si="17"/>
        <v>3.4</v>
      </c>
      <c r="AA46" s="7">
        <f t="shared" si="18"/>
        <v>0</v>
      </c>
      <c r="AB46" s="7">
        <f t="shared" si="19"/>
        <v>4.38</v>
      </c>
      <c r="AC46" s="12">
        <f t="shared" si="20"/>
        <v>5.7099999999999998E-2</v>
      </c>
      <c r="AD46" s="5" t="str">
        <f t="shared" si="21"/>
        <v>Northern Iowa|St. John's</v>
      </c>
      <c r="AE46" s="5" t="s">
        <v>155</v>
      </c>
      <c r="AF46" s="5" t="s">
        <v>148</v>
      </c>
      <c r="AG46" s="5" t="s">
        <v>123</v>
      </c>
      <c r="AH46" s="10" t="b">
        <f t="shared" si="22"/>
        <v>1</v>
      </c>
      <c r="AI46" s="5" t="str">
        <f t="array" ref="AI46">IFERROR(INDEX(Matchups!$N$2:$N$64,MATCH($AE46,Matchups!$A$2:$A$64,0)),"")</f>
        <v>St. John's</v>
      </c>
      <c r="AJ46" s="7">
        <f t="array" ref="AJ46">IFERROR(INDEX(Matchups!$O$2:$O$64,MATCH($AE46,Matchups!$A$2:$A$64,0)),"")</f>
        <v>59.8</v>
      </c>
      <c r="AK46" s="5" t="str">
        <f t="array" ref="AK46">IFERROR(INDEX(Matchups!$T$2:$T$64,MATCH($AE46,Matchups!$A$2:$A$64,0)),"")</f>
        <v>ΔComposite=0.82; AdjNET Δ=13.5; 3PT Δ=0.7; TO Δ=1.4; REB Δ=10</v>
      </c>
      <c r="AL46" s="5" t="str">
        <f t="array" ref="AL46">IFERROR(INDEX(Matchups!$P$2:$P$64,MATCH($AE46,Matchups!$A$2:$A$64,0)),"")</f>
        <v/>
      </c>
      <c r="AM46" s="5" t="str">
        <f t="shared" si="23"/>
        <v>No</v>
      </c>
      <c r="AN46" s="5" t="str">
        <f t="shared" si="24"/>
        <v/>
      </c>
      <c r="AO46" s="5" t="str">
        <f t="shared" si="25"/>
        <v/>
      </c>
    </row>
    <row r="47" spans="1:41" ht="20" customHeight="1" x14ac:dyDescent="0.2">
      <c r="A47" s="5" t="s">
        <v>92</v>
      </c>
      <c r="B47" s="10">
        <f t="array" ref="B47">IFERROR(INDEX('Team Ratings'!$B$2:$B$73,MATCH($A47,'Team Ratings'!$A$2:$A$73,0)),"")</f>
        <v>12</v>
      </c>
      <c r="C47" s="10" t="str">
        <f t="array" ref="C47">IFERROR(INDEX('Team Ratings'!$C$2:$C$73,MATCH($A47,'Team Ratings'!$A$2:$A$73,0)),"")</f>
        <v>Midwest</v>
      </c>
      <c r="D47" s="5" t="s">
        <v>83</v>
      </c>
      <c r="E47" s="10">
        <f t="array" ref="E47">IFERROR(INDEX('Team Ratings'!$B$2:$B$73,MATCH($D47,'Team Ratings'!$A$2:$A$73,0)),"")</f>
        <v>5</v>
      </c>
      <c r="F47" s="6">
        <f t="array" ref="F47">IFERROR(INDEX('Team Ratings'!$D$2:$D$73,MATCH($A47,'Team Ratings'!$A$2:$A$73,0)),"")</f>
        <v>0.77249999999999996</v>
      </c>
      <c r="G47" s="7">
        <f t="array" ref="G47">IFERROR(INDEX('Team Ratings'!$E$2:$E$73,MATCH($A47,'Team Ratings'!$A$2:$A$73,0)),"")</f>
        <v>117.2</v>
      </c>
      <c r="H47" s="7">
        <f t="array" ref="H47">IFERROR(INDEX('Team Ratings'!$F$2:$F$73,MATCH($A47,'Team Ratings'!$A$2:$A$73,0)),"")</f>
        <v>105.4</v>
      </c>
      <c r="I47" s="7">
        <f t="array" ref="I47">IFERROR(INDEX('Team Ratings'!$G$2:$G$73,MATCH($A47,'Team Ratings'!$A$2:$A$73,0)),"")</f>
        <v>11.8</v>
      </c>
      <c r="J47" s="7">
        <f t="array" ref="J47">IFERROR(INDEX('Team Ratings'!$H$2:$H$73,MATCH($A47,'Team Ratings'!$A$2:$A$73,0)),"")</f>
        <v>58.5</v>
      </c>
      <c r="K47" s="7">
        <f t="array" ref="K47">IFERROR(INDEX('Team Ratings'!$I$2:$I$73,MATCH($A47,'Team Ratings'!$A$2:$A$73,0)),"")</f>
        <v>50.6</v>
      </c>
      <c r="L47" s="7">
        <f t="array" ref="L47">IFERROR(INDEX('Team Ratings'!$J$2:$J$73,MATCH($A47,'Team Ratings'!$A$2:$A$73,0)),"")</f>
        <v>15.5</v>
      </c>
      <c r="M47" s="7">
        <f t="array" ref="M47">IFERROR(INDEX('Team Ratings'!$K$2:$K$73,MATCH($A47,'Team Ratings'!$A$2:$A$73,0)),"")</f>
        <v>18.399999999999999</v>
      </c>
      <c r="N47" s="7">
        <f t="array" ref="N47">IFERROR(INDEX('Team Ratings'!$L$2:$L$73,MATCH($A47,'Team Ratings'!$A$2:$A$73,0)),"")</f>
        <v>33.5</v>
      </c>
      <c r="O47" s="7">
        <f t="array" ref="O47">IFERROR(INDEX('Team Ratings'!$M$2:$M$73,MATCH($A47,'Team Ratings'!$A$2:$A$73,0)),"")</f>
        <v>29.9</v>
      </c>
      <c r="P47" s="7">
        <f t="array" ref="P47">IFERROR(INDEX('Team Ratings'!$N$2:$N$73,MATCH($A47,'Team Ratings'!$A$2:$A$73,0)),"")</f>
        <v>29.1</v>
      </c>
      <c r="Q47" s="7">
        <f t="array" ref="Q47">IFERROR(INDEX('Team Ratings'!$O$2:$O$73,MATCH($A47,'Team Ratings'!$A$2:$A$73,0)),"")</f>
        <v>38.5</v>
      </c>
      <c r="R47" s="7">
        <f t="array" ref="R47">IFERROR(INDEX('Team Ratings'!$P$2:$P$73,MATCH($A47,'Team Ratings'!$A$2:$A$73,0)),"")</f>
        <v>35.1</v>
      </c>
      <c r="S47" s="11">
        <f t="array" ref="S47">IFERROR(INDEX('Team Ratings'!$Q$2:$Q$73,MATCH($A47,'Team Ratings'!$A$2:$A$73,0)),0)</f>
        <v>0</v>
      </c>
      <c r="T47" s="7">
        <f t="array" ref="T47">IFERROR(INDEX('Team Ratings'!$R$2:$R$73,MATCH($A47,'Team Ratings'!$A$2:$A$73,0)),"")</f>
        <v>109.1</v>
      </c>
      <c r="U47" s="7">
        <f t="array" ref="U47">IFERROR(INDEX('Team Ratings'!$S$2:$S$73,MATCH($A47,'Team Ratings'!$A$2:$A$73,0)),"")</f>
        <v>99.8</v>
      </c>
      <c r="V47" s="7">
        <f t="shared" si="13"/>
        <v>9.2999999999999972</v>
      </c>
      <c r="W47" s="7">
        <f t="shared" si="14"/>
        <v>-2.5000000000000036</v>
      </c>
      <c r="X47" s="7">
        <f t="shared" si="15"/>
        <v>11.175000000000001</v>
      </c>
      <c r="Y47" s="7">
        <f t="shared" si="16"/>
        <v>7</v>
      </c>
      <c r="Z47" s="7">
        <f t="shared" si="17"/>
        <v>2.5</v>
      </c>
      <c r="AA47" s="7">
        <f t="shared" si="18"/>
        <v>5</v>
      </c>
      <c r="AB47" s="7">
        <f t="shared" si="19"/>
        <v>3.19</v>
      </c>
      <c r="AC47" s="12">
        <f t="shared" si="20"/>
        <v>-1.11E-2</v>
      </c>
      <c r="AD47" s="5" t="str">
        <f t="shared" si="21"/>
        <v>Akron|Texas Tech</v>
      </c>
      <c r="AE47" s="5" t="s">
        <v>156</v>
      </c>
      <c r="AF47" s="5" t="s">
        <v>150</v>
      </c>
      <c r="AG47" s="5" t="s">
        <v>123</v>
      </c>
      <c r="AH47" s="10" t="b">
        <f t="shared" si="22"/>
        <v>1</v>
      </c>
      <c r="AI47" s="5" t="str">
        <f t="array" ref="AI47">IFERROR(INDEX(Matchups!$N$2:$N$64,MATCH($AE47,Matchups!$A$2:$A$64,0)),"")</f>
        <v>Akron</v>
      </c>
      <c r="AJ47" s="7">
        <f t="array" ref="AJ47">IFERROR(INDEX(Matchups!$O$2:$O$64,MATCH($AE47,Matchups!$A$2:$A$64,0)),"")</f>
        <v>52.1</v>
      </c>
      <c r="AK47" s="5" t="str">
        <f t="array" ref="AK47">IFERROR(INDEX(Matchups!$T$2:$T$64,MATCH($AE47,Matchups!$A$2:$A$64,0)),"")</f>
        <v>ΔComposite=0.17; AdjNET Δ=-12.5; 3PT Δ=2.8; TO Δ=3.3; REB Δ=0</v>
      </c>
      <c r="AL47" s="5" t="str">
        <f t="array" ref="AL47">IFERROR(INDEX(Matchups!$P$2:$P$64,MATCH($AE47,Matchups!$A$2:$A$64,0)),"")</f>
        <v>UPSET</v>
      </c>
      <c r="AM47" s="5" t="str">
        <f t="shared" si="23"/>
        <v>Yes</v>
      </c>
      <c r="AN47" s="5" t="str">
        <f t="shared" si="24"/>
        <v>G46</v>
      </c>
      <c r="AO47" s="5" t="str">
        <f t="shared" si="25"/>
        <v>Team 1</v>
      </c>
    </row>
    <row r="48" spans="1:41" ht="20" customHeight="1" x14ac:dyDescent="0.2">
      <c r="A48" s="5" t="s">
        <v>71</v>
      </c>
      <c r="B48" s="10">
        <f t="array" ref="B48">IFERROR(INDEX('Team Ratings'!$B$2:$B$73,MATCH($A48,'Team Ratings'!$A$2:$A$73,0)),"")</f>
        <v>12</v>
      </c>
      <c r="C48" s="10" t="str">
        <f t="array" ref="C48">IFERROR(INDEX('Team Ratings'!$C$2:$C$73,MATCH($A48,'Team Ratings'!$A$2:$A$73,0)),"")</f>
        <v>South</v>
      </c>
      <c r="D48" s="5" t="s">
        <v>64</v>
      </c>
      <c r="E48" s="10">
        <f t="array" ref="E48">IFERROR(INDEX('Team Ratings'!$B$2:$B$73,MATCH($D48,'Team Ratings'!$A$2:$A$73,0)),"")</f>
        <v>5</v>
      </c>
      <c r="F48" s="6">
        <f t="array" ref="F48">IFERROR(INDEX('Team Ratings'!$D$2:$D$73,MATCH($A48,'Team Ratings'!$A$2:$A$73,0)),"")</f>
        <v>0.76480000000000004</v>
      </c>
      <c r="G48" s="7">
        <f t="array" ref="G48">IFERROR(INDEX('Team Ratings'!$E$2:$E$73,MATCH($A48,'Team Ratings'!$A$2:$A$73,0)),"")</f>
        <v>113.2</v>
      </c>
      <c r="H48" s="7">
        <f t="array" ref="H48">IFERROR(INDEX('Team Ratings'!$F$2:$F$73,MATCH($A48,'Team Ratings'!$A$2:$A$73,0)),"")</f>
        <v>102.1</v>
      </c>
      <c r="I48" s="7">
        <f t="array" ref="I48">IFERROR(INDEX('Team Ratings'!$G$2:$G$73,MATCH($A48,'Team Ratings'!$A$2:$A$73,0)),"")</f>
        <v>11.1</v>
      </c>
      <c r="J48" s="7">
        <f t="array" ref="J48">IFERROR(INDEX('Team Ratings'!$H$2:$H$73,MATCH($A48,'Team Ratings'!$A$2:$A$73,0)),"")</f>
        <v>51</v>
      </c>
      <c r="K48" s="7">
        <f t="array" ref="K48">IFERROR(INDEX('Team Ratings'!$I$2:$I$73,MATCH($A48,'Team Ratings'!$A$2:$A$73,0)),"")</f>
        <v>48.9</v>
      </c>
      <c r="L48" s="7">
        <f t="array" ref="L48">IFERROR(INDEX('Team Ratings'!$J$2:$J$73,MATCH($A48,'Team Ratings'!$A$2:$A$73,0)),"")</f>
        <v>14.3</v>
      </c>
      <c r="M48" s="7">
        <f t="array" ref="M48">IFERROR(INDEX('Team Ratings'!$K$2:$K$73,MATCH($A48,'Team Ratings'!$A$2:$A$73,0)),"")</f>
        <v>24.6</v>
      </c>
      <c r="N48" s="7">
        <f t="array" ref="N48">IFERROR(INDEX('Team Ratings'!$L$2:$L$73,MATCH($A48,'Team Ratings'!$A$2:$A$73,0)),"")</f>
        <v>35</v>
      </c>
      <c r="O48" s="7">
        <f t="array" ref="O48">IFERROR(INDEX('Team Ratings'!$M$2:$M$73,MATCH($A48,'Team Ratings'!$A$2:$A$73,0)),"")</f>
        <v>35</v>
      </c>
      <c r="P48" s="7">
        <f t="array" ref="P48">IFERROR(INDEX('Team Ratings'!$N$2:$N$73,MATCH($A48,'Team Ratings'!$A$2:$A$73,0)),"")</f>
        <v>38.299999999999997</v>
      </c>
      <c r="Q48" s="7">
        <f t="array" ref="Q48">IFERROR(INDEX('Team Ratings'!$O$2:$O$73,MATCH($A48,'Team Ratings'!$A$2:$A$73,0)),"")</f>
        <v>31.6</v>
      </c>
      <c r="R48" s="7">
        <f t="array" ref="R48">IFERROR(INDEX('Team Ratings'!$P$2:$P$73,MATCH($A48,'Team Ratings'!$A$2:$A$73,0)),"")</f>
        <v>32.5</v>
      </c>
      <c r="S48" s="11">
        <f t="array" ref="S48">IFERROR(INDEX('Team Ratings'!$Q$2:$Q$73,MATCH($A48,'Team Ratings'!$A$2:$A$73,0)),0)</f>
        <v>0</v>
      </c>
      <c r="T48" s="7">
        <f t="array" ref="T48">IFERROR(INDEX('Team Ratings'!$R$2:$R$73,MATCH($A48,'Team Ratings'!$A$2:$A$73,0)),"")</f>
        <v>112.4</v>
      </c>
      <c r="U48" s="7">
        <f t="array" ref="U48">IFERROR(INDEX('Team Ratings'!$S$2:$S$73,MATCH($A48,'Team Ratings'!$A$2:$A$73,0)),"")</f>
        <v>92.9</v>
      </c>
      <c r="V48" s="7">
        <f t="shared" si="13"/>
        <v>19.5</v>
      </c>
      <c r="W48" s="7">
        <f t="shared" si="14"/>
        <v>8.4</v>
      </c>
      <c r="X48" s="7">
        <f t="shared" si="15"/>
        <v>13.2</v>
      </c>
      <c r="Y48" s="7">
        <f t="shared" si="16"/>
        <v>-0.6</v>
      </c>
      <c r="Z48" s="7">
        <f t="shared" si="17"/>
        <v>11.3</v>
      </c>
      <c r="AA48" s="7">
        <f t="shared" si="18"/>
        <v>8.6</v>
      </c>
      <c r="AB48" s="7">
        <f t="shared" si="19"/>
        <v>4.6900000000000004</v>
      </c>
      <c r="AC48" s="12">
        <f t="shared" si="20"/>
        <v>0.2898</v>
      </c>
      <c r="AD48" s="5" t="str">
        <f t="shared" si="21"/>
        <v>McNeese St.|Vanderbilt</v>
      </c>
      <c r="AE48" s="5" t="s">
        <v>157</v>
      </c>
      <c r="AF48" s="5" t="s">
        <v>152</v>
      </c>
      <c r="AG48" s="5" t="s">
        <v>123</v>
      </c>
      <c r="AH48" s="10" t="b">
        <f t="shared" si="22"/>
        <v>1</v>
      </c>
      <c r="AI48" s="5" t="str">
        <f t="array" ref="AI48">IFERROR(INDEX(Matchups!$N$2:$N$64,MATCH($AE48,Matchups!$A$2:$A$64,0)),"")</f>
        <v>Vanderbilt</v>
      </c>
      <c r="AJ48" s="7">
        <f t="array" ref="AJ48">IFERROR(INDEX(Matchups!$O$2:$O$64,MATCH($AE48,Matchups!$A$2:$A$64,0)),"")</f>
        <v>53.5</v>
      </c>
      <c r="AK48" s="5" t="str">
        <f t="array" ref="AK48">IFERROR(INDEX(Matchups!$T$2:$T$64,MATCH($AE48,Matchups!$A$2:$A$64,0)),"")</f>
        <v>ΔComposite=0.29; AdjNET Δ=-16.9; 3PT Δ=-3.6; TO Δ=7.7; REB Δ=7.2</v>
      </c>
      <c r="AL48" s="5" t="str">
        <f t="array" ref="AL48">IFERROR(INDEX(Matchups!$P$2:$P$64,MATCH($AE48,Matchups!$A$2:$A$64,0)),"")</f>
        <v/>
      </c>
      <c r="AM48" s="5" t="str">
        <f t="shared" si="23"/>
        <v>No</v>
      </c>
      <c r="AN48" s="5" t="str">
        <f t="shared" si="24"/>
        <v/>
      </c>
      <c r="AO48" s="5" t="str">
        <f t="shared" si="25"/>
        <v/>
      </c>
    </row>
    <row r="49" spans="1:41" ht="20" customHeight="1" x14ac:dyDescent="0.2">
      <c r="A49" s="5" t="s">
        <v>54</v>
      </c>
      <c r="B49" s="10">
        <f t="array" ref="B49">IFERROR(INDEX('Team Ratings'!$B$2:$B$73,MATCH($A49,'Team Ratings'!$A$2:$A$73,0)),"")</f>
        <v>12</v>
      </c>
      <c r="C49" s="10" t="str">
        <f t="array" ref="C49">IFERROR(INDEX('Team Ratings'!$C$2:$C$73,MATCH($A49,'Team Ratings'!$A$2:$A$73,0)),"")</f>
        <v>West</v>
      </c>
      <c r="D49" s="5" t="s">
        <v>44</v>
      </c>
      <c r="E49" s="10">
        <f t="array" ref="E49">IFERROR(INDEX('Team Ratings'!$B$2:$B$73,MATCH($D49,'Team Ratings'!$A$2:$A$73,0)),"")</f>
        <v>5</v>
      </c>
      <c r="F49" s="6">
        <f t="array" ref="F49">IFERROR(INDEX('Team Ratings'!$D$2:$D$73,MATCH($A49,'Team Ratings'!$A$2:$A$73,0)),"")</f>
        <v>0.69930000000000003</v>
      </c>
      <c r="G49" s="7">
        <f t="array" ref="G49">IFERROR(INDEX('Team Ratings'!$E$2:$E$73,MATCH($A49,'Team Ratings'!$A$2:$A$73,0)),"")</f>
        <v>115.7</v>
      </c>
      <c r="H49" s="7">
        <f t="array" ref="H49">IFERROR(INDEX('Team Ratings'!$F$2:$F$73,MATCH($A49,'Team Ratings'!$A$2:$A$73,0)),"")</f>
        <v>107.5</v>
      </c>
      <c r="I49" s="7">
        <f t="array" ref="I49">IFERROR(INDEX('Team Ratings'!$G$2:$G$73,MATCH($A49,'Team Ratings'!$A$2:$A$73,0)),"")</f>
        <v>8.1999999999999993</v>
      </c>
      <c r="J49" s="7">
        <f t="array" ref="J49">IFERROR(INDEX('Team Ratings'!$H$2:$H$73,MATCH($A49,'Team Ratings'!$A$2:$A$73,0)),"")</f>
        <v>54.7</v>
      </c>
      <c r="K49" s="7">
        <f t="array" ref="K49">IFERROR(INDEX('Team Ratings'!$I$2:$I$73,MATCH($A49,'Team Ratings'!$A$2:$A$73,0)),"")</f>
        <v>50.1</v>
      </c>
      <c r="L49" s="7">
        <f t="array" ref="L49">IFERROR(INDEX('Team Ratings'!$J$2:$J$73,MATCH($A49,'Team Ratings'!$A$2:$A$73,0)),"")</f>
        <v>13</v>
      </c>
      <c r="M49" s="7">
        <f t="array" ref="M49">IFERROR(INDEX('Team Ratings'!$K$2:$K$73,MATCH($A49,'Team Ratings'!$A$2:$A$73,0)),"")</f>
        <v>21.9</v>
      </c>
      <c r="N49" s="7">
        <f t="array" ref="N49">IFERROR(INDEX('Team Ratings'!$L$2:$L$73,MATCH($A49,'Team Ratings'!$A$2:$A$73,0)),"")</f>
        <v>32.1</v>
      </c>
      <c r="O49" s="7">
        <f t="array" ref="O49">IFERROR(INDEX('Team Ratings'!$M$2:$M$73,MATCH($A49,'Team Ratings'!$A$2:$A$73,0)),"")</f>
        <v>31.7</v>
      </c>
      <c r="P49" s="7">
        <f t="array" ref="P49">IFERROR(INDEX('Team Ratings'!$N$2:$N$73,MATCH($A49,'Team Ratings'!$A$2:$A$73,0)),"")</f>
        <v>42.9</v>
      </c>
      <c r="Q49" s="7">
        <f t="array" ref="Q49">IFERROR(INDEX('Team Ratings'!$O$2:$O$73,MATCH($A49,'Team Ratings'!$A$2:$A$73,0)),"")</f>
        <v>34.4</v>
      </c>
      <c r="R49" s="7">
        <f t="array" ref="R49">IFERROR(INDEX('Team Ratings'!$P$2:$P$73,MATCH($A49,'Team Ratings'!$A$2:$A$73,0)),"")</f>
        <v>31.9</v>
      </c>
      <c r="S49" s="11">
        <f t="array" ref="S49">IFERROR(INDEX('Team Ratings'!$Q$2:$Q$73,MATCH($A49,'Team Ratings'!$A$2:$A$73,0)),0)</f>
        <v>0</v>
      </c>
      <c r="T49" s="7">
        <f t="array" ref="T49">IFERROR(INDEX('Team Ratings'!$R$2:$R$73,MATCH($A49,'Team Ratings'!$A$2:$A$73,0)),"")</f>
        <v>108.4</v>
      </c>
      <c r="U49" s="7">
        <f t="array" ref="U49">IFERROR(INDEX('Team Ratings'!$S$2:$S$73,MATCH($A49,'Team Ratings'!$A$2:$A$73,0)),"")</f>
        <v>101.5</v>
      </c>
      <c r="V49" s="7">
        <f t="shared" si="13"/>
        <v>6.9000000000000057</v>
      </c>
      <c r="W49" s="7">
        <f t="shared" si="14"/>
        <v>-1.2999999999999936</v>
      </c>
      <c r="X49" s="7">
        <f t="shared" si="15"/>
        <v>7.875</v>
      </c>
      <c r="Y49" s="7">
        <f t="shared" si="16"/>
        <v>1.1000000000000001</v>
      </c>
      <c r="Z49" s="7">
        <f t="shared" si="17"/>
        <v>9.1</v>
      </c>
      <c r="AA49" s="7">
        <f t="shared" si="18"/>
        <v>8.1</v>
      </c>
      <c r="AB49" s="7">
        <f t="shared" si="19"/>
        <v>3.55</v>
      </c>
      <c r="AC49" s="12">
        <f t="shared" si="20"/>
        <v>-0.1203</v>
      </c>
      <c r="AD49" s="5" t="str">
        <f t="shared" si="21"/>
        <v>High Point|Wisconsin</v>
      </c>
      <c r="AE49" s="5" t="s">
        <v>158</v>
      </c>
      <c r="AF49" s="5" t="s">
        <v>154</v>
      </c>
      <c r="AG49" s="5" t="s">
        <v>123</v>
      </c>
      <c r="AH49" s="10" t="b">
        <f t="shared" si="22"/>
        <v>1</v>
      </c>
      <c r="AI49" s="5" t="str">
        <f t="array" ref="AI49">IFERROR(INDEX(Matchups!$N$2:$N$64,MATCH($AE49,Matchups!$A$2:$A$64,0)),"")</f>
        <v>Wisconsin</v>
      </c>
      <c r="AJ49" s="7">
        <f t="array" ref="AJ49">IFERROR(INDEX(Matchups!$O$2:$O$64,MATCH($AE49,Matchups!$A$2:$A$64,0)),"")</f>
        <v>59</v>
      </c>
      <c r="AK49" s="5" t="str">
        <f t="array" ref="AK49">IFERROR(INDEX(Matchups!$T$2:$T$64,MATCH($AE49,Matchups!$A$2:$A$64,0)),"")</f>
        <v>ΔComposite=0.75; AdjNET Δ=20.6; 3PT Δ=3.1; TO Δ=-7.7; REB Δ=-6.2</v>
      </c>
      <c r="AL49" s="5" t="str">
        <f t="array" ref="AL49">IFERROR(INDEX(Matchups!$P$2:$P$64,MATCH($AE49,Matchups!$A$2:$A$64,0)),"")</f>
        <v/>
      </c>
      <c r="AM49" s="5" t="str">
        <f t="shared" si="23"/>
        <v>No</v>
      </c>
      <c r="AN49" s="5" t="str">
        <f t="shared" si="24"/>
        <v/>
      </c>
      <c r="AO49" s="5" t="str">
        <f t="shared" si="25"/>
        <v/>
      </c>
    </row>
    <row r="50" spans="1:41" ht="20" customHeight="1" x14ac:dyDescent="0.2">
      <c r="A50" s="5" t="s">
        <v>35</v>
      </c>
      <c r="B50" s="10">
        <f t="array" ref="B50">IFERROR(INDEX('Team Ratings'!$B$2:$B$73,MATCH($A50,'Team Ratings'!$A$2:$A$73,0)),"")</f>
        <v>13</v>
      </c>
      <c r="C50" s="10" t="str">
        <f t="array" ref="C50">IFERROR(INDEX('Team Ratings'!$C$2:$C$73,MATCH($A50,'Team Ratings'!$A$2:$A$73,0)),"")</f>
        <v>East</v>
      </c>
      <c r="D50" s="5" t="s">
        <v>26</v>
      </c>
      <c r="E50" s="10">
        <f t="array" ref="E50">IFERROR(INDEX('Team Ratings'!$B$2:$B$73,MATCH($D50,'Team Ratings'!$A$2:$A$73,0)),"")</f>
        <v>4</v>
      </c>
      <c r="F50" s="6">
        <f t="array" ref="F50">IFERROR(INDEX('Team Ratings'!$D$2:$D$73,MATCH($A50,'Team Ratings'!$A$2:$A$73,0)),"")</f>
        <v>0.68899999999999995</v>
      </c>
      <c r="G50" s="7">
        <f t="array" ref="G50">IFERROR(INDEX('Team Ratings'!$E$2:$E$73,MATCH($A50,'Team Ratings'!$A$2:$A$73,0)),"")</f>
        <v>107.5</v>
      </c>
      <c r="H50" s="7">
        <f t="array" ref="H50">IFERROR(INDEX('Team Ratings'!$F$2:$F$73,MATCH($A50,'Team Ratings'!$A$2:$A$73,0)),"")</f>
        <v>100.3</v>
      </c>
      <c r="I50" s="7">
        <f t="array" ref="I50">IFERROR(INDEX('Team Ratings'!$G$2:$G$73,MATCH($A50,'Team Ratings'!$A$2:$A$73,0)),"")</f>
        <v>7.2</v>
      </c>
      <c r="J50" s="7">
        <f t="array" ref="J50">IFERROR(INDEX('Team Ratings'!$H$2:$H$73,MATCH($A50,'Team Ratings'!$A$2:$A$73,0)),"")</f>
        <v>48.6</v>
      </c>
      <c r="K50" s="7">
        <f t="array" ref="K50">IFERROR(INDEX('Team Ratings'!$I$2:$I$73,MATCH($A50,'Team Ratings'!$A$2:$A$73,0)),"")</f>
        <v>46.4</v>
      </c>
      <c r="L50" s="7">
        <f t="array" ref="L50">IFERROR(INDEX('Team Ratings'!$J$2:$J$73,MATCH($A50,'Team Ratings'!$A$2:$A$73,0)),"")</f>
        <v>18.100000000000001</v>
      </c>
      <c r="M50" s="7">
        <f t="array" ref="M50">IFERROR(INDEX('Team Ratings'!$K$2:$K$73,MATCH($A50,'Team Ratings'!$A$2:$A$73,0)),"")</f>
        <v>17.100000000000001</v>
      </c>
      <c r="N50" s="7">
        <f t="array" ref="N50">IFERROR(INDEX('Team Ratings'!$L$2:$L$73,MATCH($A50,'Team Ratings'!$A$2:$A$73,0)),"")</f>
        <v>37.799999999999997</v>
      </c>
      <c r="O50" s="7">
        <f t="array" ref="O50">IFERROR(INDEX('Team Ratings'!$M$2:$M$73,MATCH($A50,'Team Ratings'!$A$2:$A$73,0)),"")</f>
        <v>27.2</v>
      </c>
      <c r="P50" s="7">
        <f t="array" ref="P50">IFERROR(INDEX('Team Ratings'!$N$2:$N$73,MATCH($A50,'Team Ratings'!$A$2:$A$73,0)),"")</f>
        <v>36.1</v>
      </c>
      <c r="Q50" s="7">
        <f t="array" ref="Q50">IFERROR(INDEX('Team Ratings'!$O$2:$O$73,MATCH($A50,'Team Ratings'!$A$2:$A$73,0)),"")</f>
        <v>33.700000000000003</v>
      </c>
      <c r="R50" s="7">
        <f t="array" ref="R50">IFERROR(INDEX('Team Ratings'!$P$2:$P$73,MATCH($A50,'Team Ratings'!$A$2:$A$73,0)),"")</f>
        <v>29.7</v>
      </c>
      <c r="S50" s="11">
        <f t="array" ref="S50">IFERROR(INDEX('Team Ratings'!$Q$2:$Q$73,MATCH($A50,'Team Ratings'!$A$2:$A$73,0)),0)</f>
        <v>0</v>
      </c>
      <c r="T50" s="7">
        <f t="array" ref="T50">IFERROR(INDEX('Team Ratings'!$R$2:$R$73,MATCH($A50,'Team Ratings'!$A$2:$A$73,0)),"")</f>
        <v>112.5</v>
      </c>
      <c r="U50" s="7">
        <f t="array" ref="U50">IFERROR(INDEX('Team Ratings'!$S$2:$S$73,MATCH($A50,'Team Ratings'!$A$2:$A$73,0)),"")</f>
        <v>93.4</v>
      </c>
      <c r="V50" s="7">
        <f t="shared" si="13"/>
        <v>19.099999999999994</v>
      </c>
      <c r="W50" s="7">
        <f t="shared" si="14"/>
        <v>11.899999999999995</v>
      </c>
      <c r="X50" s="7">
        <f t="shared" si="15"/>
        <v>10.175000000000001</v>
      </c>
      <c r="Y50" s="7">
        <f t="shared" si="16"/>
        <v>3</v>
      </c>
      <c r="Z50" s="7">
        <f t="shared" si="17"/>
        <v>1.6</v>
      </c>
      <c r="AA50" s="7">
        <f t="shared" si="18"/>
        <v>7.7</v>
      </c>
      <c r="AB50" s="7">
        <f t="shared" si="19"/>
        <v>3.97</v>
      </c>
      <c r="AC50" s="12">
        <f t="shared" si="20"/>
        <v>0.1273</v>
      </c>
      <c r="AD50" s="5" t="str">
        <f t="shared" si="21"/>
        <v>Cal Baptist|Kansas</v>
      </c>
      <c r="AE50" s="5" t="s">
        <v>147</v>
      </c>
      <c r="AF50" s="5" t="s">
        <v>148</v>
      </c>
      <c r="AG50" s="5" t="s">
        <v>132</v>
      </c>
      <c r="AH50" s="10" t="b">
        <f t="shared" si="22"/>
        <v>1</v>
      </c>
      <c r="AI50" s="5" t="str">
        <f t="array" ref="AI50">IFERROR(INDEX(Matchups!$N$2:$N$64,MATCH($AE50,Matchups!$A$2:$A$64,0)),"")</f>
        <v>Cal Baptist</v>
      </c>
      <c r="AJ50" s="7">
        <f t="array" ref="AJ50">IFERROR(INDEX(Matchups!$O$2:$O$64,MATCH($AE50,Matchups!$A$2:$A$64,0)),"")</f>
        <v>56.7</v>
      </c>
      <c r="AK50" s="5" t="str">
        <f t="array" ref="AK50">IFERROR(INDEX(Matchups!$T$2:$T$64,MATCH($AE50,Matchups!$A$2:$A$64,0)),"")</f>
        <v>ΔComposite=0.56; AdjNET Δ=-9.6; 3PT Δ=-2.3; TO Δ=5.7; REB Δ=5.4</v>
      </c>
      <c r="AL50" s="5" t="str">
        <f t="array" ref="AL50">IFERROR(INDEX(Matchups!$P$2:$P$64,MATCH($AE50,Matchups!$A$2:$A$64,0)),"")</f>
        <v>UPSET</v>
      </c>
      <c r="AM50" s="5" t="str">
        <f t="shared" si="23"/>
        <v>Yes</v>
      </c>
      <c r="AN50" s="5" t="str">
        <f t="shared" si="24"/>
        <v>G34</v>
      </c>
      <c r="AO50" s="5" t="str">
        <f t="shared" si="25"/>
        <v>Team 2</v>
      </c>
    </row>
    <row r="51" spans="1:41" ht="20" customHeight="1" x14ac:dyDescent="0.2">
      <c r="A51" s="5" t="s">
        <v>93</v>
      </c>
      <c r="B51" s="10">
        <f t="array" ref="B51">IFERROR(INDEX('Team Ratings'!$B$2:$B$73,MATCH($A51,'Team Ratings'!$A$2:$A$73,0)),"")</f>
        <v>13</v>
      </c>
      <c r="C51" s="10" t="str">
        <f t="array" ref="C51">IFERROR(INDEX('Team Ratings'!$C$2:$C$73,MATCH($A51,'Team Ratings'!$A$2:$A$73,0)),"")</f>
        <v>Midwest</v>
      </c>
      <c r="D51" s="5" t="s">
        <v>82</v>
      </c>
      <c r="E51" s="10">
        <f t="array" ref="E51">IFERROR(INDEX('Team Ratings'!$B$2:$B$73,MATCH($D51,'Team Ratings'!$A$2:$A$73,0)),"")</f>
        <v>4</v>
      </c>
      <c r="F51" s="6">
        <f t="array" ref="F51">IFERROR(INDEX('Team Ratings'!$D$2:$D$73,MATCH($A51,'Team Ratings'!$A$2:$A$73,0)),"")</f>
        <v>0.70540000000000003</v>
      </c>
      <c r="G51" s="7">
        <f t="array" ref="G51">IFERROR(INDEX('Team Ratings'!$E$2:$E$73,MATCH($A51,'Team Ratings'!$A$2:$A$73,0)),"")</f>
        <v>113.2</v>
      </c>
      <c r="H51" s="7">
        <f t="array" ref="H51">IFERROR(INDEX('Team Ratings'!$F$2:$F$73,MATCH($A51,'Team Ratings'!$A$2:$A$73,0)),"")</f>
        <v>104.9</v>
      </c>
      <c r="I51" s="7">
        <f t="array" ref="I51">IFERROR(INDEX('Team Ratings'!$G$2:$G$73,MATCH($A51,'Team Ratings'!$A$2:$A$73,0)),"")</f>
        <v>8.3000000000000007</v>
      </c>
      <c r="J51" s="7">
        <f t="array" ref="J51">IFERROR(INDEX('Team Ratings'!$H$2:$H$73,MATCH($A51,'Team Ratings'!$A$2:$A$73,0)),"")</f>
        <v>51.5</v>
      </c>
      <c r="K51" s="7">
        <f t="array" ref="K51">IFERROR(INDEX('Team Ratings'!$I$2:$I$73,MATCH($A51,'Team Ratings'!$A$2:$A$73,0)),"")</f>
        <v>45.9</v>
      </c>
      <c r="L51" s="7">
        <f t="array" ref="L51">IFERROR(INDEX('Team Ratings'!$J$2:$J$73,MATCH($A51,'Team Ratings'!$A$2:$A$73,0)),"")</f>
        <v>16.100000000000001</v>
      </c>
      <c r="M51" s="7">
        <f t="array" ref="M51">IFERROR(INDEX('Team Ratings'!$K$2:$K$73,MATCH($A51,'Team Ratings'!$A$2:$A$73,0)),"")</f>
        <v>15</v>
      </c>
      <c r="N51" s="7">
        <f t="array" ref="N51">IFERROR(INDEX('Team Ratings'!$L$2:$L$73,MATCH($A51,'Team Ratings'!$A$2:$A$73,0)),"")</f>
        <v>34.9</v>
      </c>
      <c r="O51" s="7">
        <f t="array" ref="O51">IFERROR(INDEX('Team Ratings'!$M$2:$M$73,MATCH($A51,'Team Ratings'!$A$2:$A$73,0)),"")</f>
        <v>30.5</v>
      </c>
      <c r="P51" s="7">
        <f t="array" ref="P51">IFERROR(INDEX('Team Ratings'!$N$2:$N$73,MATCH($A51,'Team Ratings'!$A$2:$A$73,0)),"")</f>
        <v>32.5</v>
      </c>
      <c r="Q51" s="7">
        <f t="array" ref="Q51">IFERROR(INDEX('Team Ratings'!$O$2:$O$73,MATCH($A51,'Team Ratings'!$A$2:$A$73,0)),"")</f>
        <v>36.799999999999997</v>
      </c>
      <c r="R51" s="7">
        <f t="array" ref="R51">IFERROR(INDEX('Team Ratings'!$P$2:$P$73,MATCH($A51,'Team Ratings'!$A$2:$A$73,0)),"")</f>
        <v>32.299999999999997</v>
      </c>
      <c r="S51" s="11">
        <f t="array" ref="S51">IFERROR(INDEX('Team Ratings'!$Q$2:$Q$73,MATCH($A51,'Team Ratings'!$A$2:$A$73,0)),0)</f>
        <v>0</v>
      </c>
      <c r="T51" s="7">
        <f t="array" ref="T51">IFERROR(INDEX('Team Ratings'!$R$2:$R$73,MATCH($A51,'Team Ratings'!$A$2:$A$73,0)),"")</f>
        <v>117.5</v>
      </c>
      <c r="U51" s="7">
        <f t="array" ref="U51">IFERROR(INDEX('Team Ratings'!$S$2:$S$73,MATCH($A51,'Team Ratings'!$A$2:$A$73,0)),"")</f>
        <v>104.8</v>
      </c>
      <c r="V51" s="7">
        <f t="shared" si="13"/>
        <v>12.700000000000003</v>
      </c>
      <c r="W51" s="7">
        <f t="shared" si="14"/>
        <v>4.4000000000000021</v>
      </c>
      <c r="X51" s="7">
        <f t="shared" si="15"/>
        <v>9.4</v>
      </c>
      <c r="Y51" s="7">
        <f t="shared" si="16"/>
        <v>3.3</v>
      </c>
      <c r="Z51" s="7">
        <f t="shared" si="17"/>
        <v>2</v>
      </c>
      <c r="AA51" s="7">
        <f t="shared" si="18"/>
        <v>5.4</v>
      </c>
      <c r="AB51" s="7">
        <f t="shared" si="19"/>
        <v>3.54</v>
      </c>
      <c r="AC51" s="12">
        <f t="shared" si="20"/>
        <v>-0.13250000000000001</v>
      </c>
      <c r="AD51" s="5" t="str">
        <f t="shared" si="21"/>
        <v>Alabama|Hofstra</v>
      </c>
      <c r="AE51" s="5" t="s">
        <v>149</v>
      </c>
      <c r="AF51" s="5" t="s">
        <v>150</v>
      </c>
      <c r="AG51" s="5" t="s">
        <v>132</v>
      </c>
      <c r="AH51" s="10" t="b">
        <f t="shared" si="22"/>
        <v>1</v>
      </c>
      <c r="AI51" s="5" t="str">
        <f t="array" ref="AI51">IFERROR(INDEX(Matchups!$N$2:$N$64,MATCH($AE51,Matchups!$A$2:$A$64,0)),"")</f>
        <v>Alabama</v>
      </c>
      <c r="AJ51" s="7">
        <f t="array" ref="AJ51">IFERROR(INDEX(Matchups!$O$2:$O$64,MATCH($AE51,Matchups!$A$2:$A$64,0)),"")</f>
        <v>50.5</v>
      </c>
      <c r="AK51" s="5" t="str">
        <f t="array" ref="AK51">IFERROR(INDEX(Matchups!$T$2:$T$64,MATCH($AE51,Matchups!$A$2:$A$64,0)),"")</f>
        <v>ΔComposite=0.04; AdjNET Δ=15.3; 3PT Δ=0.2; TO Δ=-5.5; REB Δ=-0.8</v>
      </c>
      <c r="AL51" s="5" t="str">
        <f t="array" ref="AL51">IFERROR(INDEX(Matchups!$P$2:$P$64,MATCH($AE51,Matchups!$A$2:$A$64,0)),"")</f>
        <v/>
      </c>
      <c r="AM51" s="5" t="str">
        <f t="shared" si="23"/>
        <v>No</v>
      </c>
      <c r="AN51" s="5" t="str">
        <f t="shared" si="24"/>
        <v/>
      </c>
      <c r="AO51" s="5" t="str">
        <f t="shared" si="25"/>
        <v/>
      </c>
    </row>
    <row r="52" spans="1:41" ht="20" customHeight="1" x14ac:dyDescent="0.2">
      <c r="A52" s="5" t="s">
        <v>72</v>
      </c>
      <c r="B52" s="10">
        <f t="array" ref="B52">IFERROR(INDEX('Team Ratings'!$B$2:$B$73,MATCH($A52,'Team Ratings'!$A$2:$A$73,0)),"")</f>
        <v>13</v>
      </c>
      <c r="C52" s="10" t="str">
        <f t="array" ref="C52">IFERROR(INDEX('Team Ratings'!$C$2:$C$73,MATCH($A52,'Team Ratings'!$A$2:$A$73,0)),"")</f>
        <v>South</v>
      </c>
      <c r="D52" s="5" t="s">
        <v>63</v>
      </c>
      <c r="E52" s="10">
        <f t="array" ref="E52">IFERROR(INDEX('Team Ratings'!$B$2:$B$73,MATCH($D52,'Team Ratings'!$A$2:$A$73,0)),"")</f>
        <v>4</v>
      </c>
      <c r="F52" s="6">
        <f t="array" ref="F52">IFERROR(INDEX('Team Ratings'!$D$2:$D$73,MATCH($A52,'Team Ratings'!$A$2:$A$73,0)),"")</f>
        <v>0.54349999999999998</v>
      </c>
      <c r="G52" s="7">
        <f t="array" ref="G52">IFERROR(INDEX('Team Ratings'!$E$2:$E$73,MATCH($A52,'Team Ratings'!$A$2:$A$73,0)),"")</f>
        <v>110.7</v>
      </c>
      <c r="H52" s="7">
        <f t="array" ref="H52">IFERROR(INDEX('Team Ratings'!$F$2:$F$73,MATCH($A52,'Team Ratings'!$A$2:$A$73,0)),"")</f>
        <v>109</v>
      </c>
      <c r="I52" s="7">
        <f t="array" ref="I52">IFERROR(INDEX('Team Ratings'!$G$2:$G$73,MATCH($A52,'Team Ratings'!$A$2:$A$73,0)),"")</f>
        <v>1.7</v>
      </c>
      <c r="J52" s="7">
        <f t="array" ref="J52">IFERROR(INDEX('Team Ratings'!$H$2:$H$73,MATCH($A52,'Team Ratings'!$A$2:$A$73,0)),"")</f>
        <v>51.9</v>
      </c>
      <c r="K52" s="7">
        <f t="array" ref="K52">IFERROR(INDEX('Team Ratings'!$I$2:$I$73,MATCH($A52,'Team Ratings'!$A$2:$A$73,0)),"")</f>
        <v>50.1</v>
      </c>
      <c r="L52" s="7">
        <f t="array" ref="L52">IFERROR(INDEX('Team Ratings'!$J$2:$J$73,MATCH($A52,'Team Ratings'!$A$2:$A$73,0)),"")</f>
        <v>17</v>
      </c>
      <c r="M52" s="7">
        <f t="array" ref="M52">IFERROR(INDEX('Team Ratings'!$K$2:$K$73,MATCH($A52,'Team Ratings'!$A$2:$A$73,0)),"")</f>
        <v>16.899999999999999</v>
      </c>
      <c r="N52" s="7">
        <f t="array" ref="N52">IFERROR(INDEX('Team Ratings'!$L$2:$L$73,MATCH($A52,'Team Ratings'!$A$2:$A$73,0)),"")</f>
        <v>34.799999999999997</v>
      </c>
      <c r="O52" s="7">
        <f t="array" ref="O52">IFERROR(INDEX('Team Ratings'!$M$2:$M$73,MATCH($A52,'Team Ratings'!$A$2:$A$73,0)),"")</f>
        <v>31.6</v>
      </c>
      <c r="P52" s="7">
        <f t="array" ref="P52">IFERROR(INDEX('Team Ratings'!$N$2:$N$73,MATCH($A52,'Team Ratings'!$A$2:$A$73,0)),"")</f>
        <v>36.299999999999997</v>
      </c>
      <c r="Q52" s="7">
        <f t="array" ref="Q52">IFERROR(INDEX('Team Ratings'!$O$2:$O$73,MATCH($A52,'Team Ratings'!$A$2:$A$73,0)),"")</f>
        <v>33.200000000000003</v>
      </c>
      <c r="R52" s="7">
        <f t="array" ref="R52">IFERROR(INDEX('Team Ratings'!$P$2:$P$73,MATCH($A52,'Team Ratings'!$A$2:$A$73,0)),"")</f>
        <v>31.3</v>
      </c>
      <c r="S52" s="11">
        <f t="array" ref="S52">IFERROR(INDEX('Team Ratings'!$Q$2:$Q$73,MATCH($A52,'Team Ratings'!$A$2:$A$73,0)),0)</f>
        <v>0</v>
      </c>
      <c r="T52" s="7">
        <f t="array" ref="T52">IFERROR(INDEX('Team Ratings'!$R$2:$R$73,MATCH($A52,'Team Ratings'!$A$2:$A$73,0)),"")</f>
        <v>113.1</v>
      </c>
      <c r="U52" s="7">
        <f t="array" ref="U52">IFERROR(INDEX('Team Ratings'!$S$2:$S$73,MATCH($A52,'Team Ratings'!$A$2:$A$73,0)),"")</f>
        <v>98.2</v>
      </c>
      <c r="V52" s="7">
        <f t="shared" si="13"/>
        <v>14.899999999999991</v>
      </c>
      <c r="W52" s="7">
        <f t="shared" si="14"/>
        <v>13.199999999999992</v>
      </c>
      <c r="X52" s="7">
        <f t="shared" si="15"/>
        <v>5</v>
      </c>
      <c r="Y52" s="7">
        <f t="shared" si="16"/>
        <v>3.3</v>
      </c>
      <c r="Z52" s="7">
        <f t="shared" si="17"/>
        <v>2.5</v>
      </c>
      <c r="AA52" s="7">
        <f t="shared" si="18"/>
        <v>10</v>
      </c>
      <c r="AB52" s="7">
        <f t="shared" si="19"/>
        <v>3.78</v>
      </c>
      <c r="AC52" s="12">
        <f t="shared" si="20"/>
        <v>0.11899999999999999</v>
      </c>
      <c r="AD52" s="5" t="str">
        <f t="shared" si="21"/>
        <v>Nebraska|Troy</v>
      </c>
      <c r="AE52" s="5" t="s">
        <v>151</v>
      </c>
      <c r="AF52" s="5" t="s">
        <v>152</v>
      </c>
      <c r="AG52" s="5" t="s">
        <v>132</v>
      </c>
      <c r="AH52" s="10" t="b">
        <f t="shared" si="22"/>
        <v>1</v>
      </c>
      <c r="AI52" s="5" t="str">
        <f t="array" ref="AI52">IFERROR(INDEX(Matchups!$N$2:$N$64,MATCH($AE52,Matchups!$A$2:$A$64,0)),"")</f>
        <v>Troy</v>
      </c>
      <c r="AJ52" s="7">
        <f t="array" ref="AJ52">IFERROR(INDEX(Matchups!$O$2:$O$64,MATCH($AE52,Matchups!$A$2:$A$64,0)),"")</f>
        <v>56.2</v>
      </c>
      <c r="AK52" s="5" t="str">
        <f t="array" ref="AK52">IFERROR(INDEX(Matchups!$T$2:$T$64,MATCH($AE52,Matchups!$A$2:$A$64,0)),"")</f>
        <v>ΔComposite=0.52; AdjNET Δ=14.9; 3PT Δ=0.7; TO Δ=-0.3; REB Δ=-10</v>
      </c>
      <c r="AL52" s="5" t="str">
        <f t="array" ref="AL52">IFERROR(INDEX(Matchups!$P$2:$P$64,MATCH($AE52,Matchups!$A$2:$A$64,0)),"")</f>
        <v>UPSET</v>
      </c>
      <c r="AM52" s="5" t="str">
        <f t="shared" si="23"/>
        <v>Yes</v>
      </c>
      <c r="AN52" s="5" t="str">
        <f t="shared" si="24"/>
        <v>G42</v>
      </c>
      <c r="AO52" s="5" t="str">
        <f t="shared" si="25"/>
        <v>Team 2</v>
      </c>
    </row>
    <row r="53" spans="1:41" ht="20" customHeight="1" x14ac:dyDescent="0.2">
      <c r="A53" s="5" t="s">
        <v>55</v>
      </c>
      <c r="B53" s="10">
        <f t="array" ref="B53">IFERROR(INDEX('Team Ratings'!$B$2:$B$73,MATCH($A53,'Team Ratings'!$A$2:$A$73,0)),"")</f>
        <v>13</v>
      </c>
      <c r="C53" s="10" t="str">
        <f t="array" ref="C53">IFERROR(INDEX('Team Ratings'!$C$2:$C$73,MATCH($A53,'Team Ratings'!$A$2:$A$73,0)),"")</f>
        <v>West</v>
      </c>
      <c r="D53" s="5" t="s">
        <v>43</v>
      </c>
      <c r="E53" s="10">
        <f t="array" ref="E53">IFERROR(INDEX('Team Ratings'!$B$2:$B$73,MATCH($D53,'Team Ratings'!$A$2:$A$73,0)),"")</f>
        <v>4</v>
      </c>
      <c r="F53" s="6">
        <f t="array" ref="F53">IFERROR(INDEX('Team Ratings'!$D$2:$D$73,MATCH($A53,'Team Ratings'!$A$2:$A$73,0)),"")</f>
        <v>0.63519999999999999</v>
      </c>
      <c r="G53" s="7">
        <f t="array" ref="G53">IFERROR(INDEX('Team Ratings'!$E$2:$E$73,MATCH($A53,'Team Ratings'!$A$2:$A$73,0)),"")</f>
        <v>106.9</v>
      </c>
      <c r="H53" s="7">
        <f t="array" ref="H53">IFERROR(INDEX('Team Ratings'!$F$2:$F$73,MATCH($A53,'Team Ratings'!$A$2:$A$73,0)),"")</f>
        <v>101.8</v>
      </c>
      <c r="I53" s="7">
        <f t="array" ref="I53">IFERROR(INDEX('Team Ratings'!$G$2:$G$73,MATCH($A53,'Team Ratings'!$A$2:$A$73,0)),"")</f>
        <v>5.0999999999999996</v>
      </c>
      <c r="J53" s="7">
        <f t="array" ref="J53">IFERROR(INDEX('Team Ratings'!$H$2:$H$73,MATCH($A53,'Team Ratings'!$A$2:$A$73,0)),"")</f>
        <v>52</v>
      </c>
      <c r="K53" s="7">
        <f t="array" ref="K53">IFERROR(INDEX('Team Ratings'!$I$2:$I$73,MATCH($A53,'Team Ratings'!$A$2:$A$73,0)),"")</f>
        <v>46.4</v>
      </c>
      <c r="L53" s="7">
        <f t="array" ref="L53">IFERROR(INDEX('Team Ratings'!$J$2:$J$73,MATCH($A53,'Team Ratings'!$A$2:$A$73,0)),"")</f>
        <v>18.899999999999999</v>
      </c>
      <c r="M53" s="7">
        <f t="array" ref="M53">IFERROR(INDEX('Team Ratings'!$K$2:$K$73,MATCH($A53,'Team Ratings'!$A$2:$A$73,0)),"")</f>
        <v>16.899999999999999</v>
      </c>
      <c r="N53" s="7">
        <f t="array" ref="N53">IFERROR(INDEX('Team Ratings'!$L$2:$L$73,MATCH($A53,'Team Ratings'!$A$2:$A$73,0)),"")</f>
        <v>31.4</v>
      </c>
      <c r="O53" s="7">
        <f t="array" ref="O53">IFERROR(INDEX('Team Ratings'!$M$2:$M$73,MATCH($A53,'Team Ratings'!$A$2:$A$73,0)),"")</f>
        <v>25</v>
      </c>
      <c r="P53" s="7">
        <f t="array" ref="P53">IFERROR(INDEX('Team Ratings'!$N$2:$N$73,MATCH($A53,'Team Ratings'!$A$2:$A$73,0)),"")</f>
        <v>42.4</v>
      </c>
      <c r="Q53" s="7">
        <f t="array" ref="Q53">IFERROR(INDEX('Team Ratings'!$O$2:$O$73,MATCH($A53,'Team Ratings'!$A$2:$A$73,0)),"")</f>
        <v>31.6</v>
      </c>
      <c r="R53" s="7">
        <f t="array" ref="R53">IFERROR(INDEX('Team Ratings'!$P$2:$P$73,MATCH($A53,'Team Ratings'!$A$2:$A$73,0)),"")</f>
        <v>30.7</v>
      </c>
      <c r="S53" s="11">
        <f t="array" ref="S53">IFERROR(INDEX('Team Ratings'!$Q$2:$Q$73,MATCH($A53,'Team Ratings'!$A$2:$A$73,0)),0)</f>
        <v>0</v>
      </c>
      <c r="T53" s="7">
        <f t="array" ref="T53">IFERROR(INDEX('Team Ratings'!$R$2:$R$73,MATCH($A53,'Team Ratings'!$A$2:$A$73,0)),"")</f>
        <v>107.9</v>
      </c>
      <c r="U53" s="7">
        <f t="array" ref="U53">IFERROR(INDEX('Team Ratings'!$S$2:$S$73,MATCH($A53,'Team Ratings'!$A$2:$A$73,0)),"")</f>
        <v>103.4</v>
      </c>
      <c r="V53" s="7">
        <f t="shared" si="13"/>
        <v>4.5</v>
      </c>
      <c r="W53" s="7">
        <f t="shared" si="14"/>
        <v>-0.59999999999999964</v>
      </c>
      <c r="X53" s="7">
        <f t="shared" si="15"/>
        <v>4.95</v>
      </c>
      <c r="Y53" s="7">
        <f t="shared" si="16"/>
        <v>-0.1</v>
      </c>
      <c r="Z53" s="7">
        <f t="shared" si="17"/>
        <v>4.5999999999999996</v>
      </c>
      <c r="AA53" s="7">
        <f t="shared" si="18"/>
        <v>1.5</v>
      </c>
      <c r="AB53" s="7">
        <f t="shared" si="19"/>
        <v>2.4900000000000002</v>
      </c>
      <c r="AC53" s="12">
        <f t="shared" si="20"/>
        <v>-0.68149999999999999</v>
      </c>
      <c r="AD53" s="5" t="str">
        <f t="shared" si="21"/>
        <v>Arkansas|Hawaii</v>
      </c>
      <c r="AE53" s="5" t="s">
        <v>153</v>
      </c>
      <c r="AF53" s="5" t="s">
        <v>154</v>
      </c>
      <c r="AG53" s="5" t="s">
        <v>132</v>
      </c>
      <c r="AH53" s="10" t="b">
        <f t="shared" si="22"/>
        <v>1</v>
      </c>
      <c r="AI53" s="5" t="str">
        <f t="array" ref="AI53">IFERROR(INDEX(Matchups!$N$2:$N$64,MATCH($AE53,Matchups!$A$2:$A$64,0)),"")</f>
        <v>Arkansas</v>
      </c>
      <c r="AJ53" s="7">
        <f t="array" ref="AJ53">IFERROR(INDEX(Matchups!$O$2:$O$64,MATCH($AE53,Matchups!$A$2:$A$64,0)),"")</f>
        <v>66.7</v>
      </c>
      <c r="AK53" s="5" t="str">
        <f t="array" ref="AK53">IFERROR(INDEX(Matchups!$T$2:$T$64,MATCH($AE53,Matchups!$A$2:$A$64,0)),"")</f>
        <v>ΔComposite=1.39; AdjNET Δ=-22.1; 3PT Δ=-8.3; TO Δ=7.8; REB Δ=-7</v>
      </c>
      <c r="AL53" s="5" t="str">
        <f t="array" ref="AL53">IFERROR(INDEX(Matchups!$P$2:$P$64,MATCH($AE53,Matchups!$A$2:$A$64,0)),"")</f>
        <v/>
      </c>
      <c r="AM53" s="5" t="str">
        <f t="shared" si="23"/>
        <v>No</v>
      </c>
      <c r="AN53" s="5" t="str">
        <f t="shared" si="24"/>
        <v/>
      </c>
      <c r="AO53" s="5" t="str">
        <f t="shared" si="25"/>
        <v/>
      </c>
    </row>
    <row r="54" spans="1:41" ht="20" customHeight="1" x14ac:dyDescent="0.2">
      <c r="A54" s="5" t="s">
        <v>36</v>
      </c>
      <c r="B54" s="10">
        <f t="array" ref="B54">IFERROR(INDEX('Team Ratings'!$B$2:$B$73,MATCH($A54,'Team Ratings'!$A$2:$A$73,0)),"")</f>
        <v>14</v>
      </c>
      <c r="C54" s="10" t="str">
        <f t="array" ref="C54">IFERROR(INDEX('Team Ratings'!$C$2:$C$73,MATCH($A54,'Team Ratings'!$A$2:$A$73,0)),"")</f>
        <v>East</v>
      </c>
      <c r="D54" s="5" t="s">
        <v>25</v>
      </c>
      <c r="E54" s="10">
        <f t="array" ref="E54">IFERROR(INDEX('Team Ratings'!$B$2:$B$73,MATCH($D54,'Team Ratings'!$A$2:$A$73,0)),"")</f>
        <v>3</v>
      </c>
      <c r="F54" s="6">
        <f t="array" ref="F54">IFERROR(INDEX('Team Ratings'!$D$2:$D$73,MATCH($A54,'Team Ratings'!$A$2:$A$73,0)),"")</f>
        <v>0.6391</v>
      </c>
      <c r="G54" s="7">
        <f t="array" ref="G54">IFERROR(INDEX('Team Ratings'!$E$2:$E$73,MATCH($A54,'Team Ratings'!$A$2:$A$73,0)),"")</f>
        <v>111.4</v>
      </c>
      <c r="H54" s="7">
        <f t="array" ref="H54">IFERROR(INDEX('Team Ratings'!$F$2:$F$73,MATCH($A54,'Team Ratings'!$A$2:$A$73,0)),"")</f>
        <v>106</v>
      </c>
      <c r="I54" s="7">
        <f t="array" ref="I54">IFERROR(INDEX('Team Ratings'!$G$2:$G$73,MATCH($A54,'Team Ratings'!$A$2:$A$73,0)),"")</f>
        <v>5.4</v>
      </c>
      <c r="J54" s="7">
        <f t="array" ref="J54">IFERROR(INDEX('Team Ratings'!$H$2:$H$73,MATCH($A54,'Team Ratings'!$A$2:$A$73,0)),"")</f>
        <v>53.4</v>
      </c>
      <c r="K54" s="7">
        <f t="array" ref="K54">IFERROR(INDEX('Team Ratings'!$I$2:$I$73,MATCH($A54,'Team Ratings'!$A$2:$A$73,0)),"")</f>
        <v>51.5</v>
      </c>
      <c r="L54" s="7">
        <f t="array" ref="L54">IFERROR(INDEX('Team Ratings'!$J$2:$J$73,MATCH($A54,'Team Ratings'!$A$2:$A$73,0)),"")</f>
        <v>15.6</v>
      </c>
      <c r="M54" s="7">
        <f t="array" ref="M54">IFERROR(INDEX('Team Ratings'!$K$2:$K$73,MATCH($A54,'Team Ratings'!$A$2:$A$73,0)),"")</f>
        <v>18.7</v>
      </c>
      <c r="N54" s="7">
        <f t="array" ref="N54">IFERROR(INDEX('Team Ratings'!$L$2:$L$73,MATCH($A54,'Team Ratings'!$A$2:$A$73,0)),"")</f>
        <v>33.6</v>
      </c>
      <c r="O54" s="7">
        <f t="array" ref="O54">IFERROR(INDEX('Team Ratings'!$M$2:$M$73,MATCH($A54,'Team Ratings'!$A$2:$A$73,0)),"")</f>
        <v>25.7</v>
      </c>
      <c r="P54" s="7">
        <f t="array" ref="P54">IFERROR(INDEX('Team Ratings'!$N$2:$N$73,MATCH($A54,'Team Ratings'!$A$2:$A$73,0)),"")</f>
        <v>30.7</v>
      </c>
      <c r="Q54" s="7">
        <f t="array" ref="Q54">IFERROR(INDEX('Team Ratings'!$O$2:$O$73,MATCH($A54,'Team Ratings'!$A$2:$A$73,0)),"")</f>
        <v>35.700000000000003</v>
      </c>
      <c r="R54" s="7">
        <f t="array" ref="R54">IFERROR(INDEX('Team Ratings'!$P$2:$P$73,MATCH($A54,'Team Ratings'!$A$2:$A$73,0)),"")</f>
        <v>33.5</v>
      </c>
      <c r="S54" s="11">
        <f t="array" ref="S54">IFERROR(INDEX('Team Ratings'!$Q$2:$Q$73,MATCH($A54,'Team Ratings'!$A$2:$A$73,0)),0)</f>
        <v>0</v>
      </c>
      <c r="T54" s="7">
        <f t="array" ref="T54">IFERROR(INDEX('Team Ratings'!$R$2:$R$73,MATCH($A54,'Team Ratings'!$A$2:$A$73,0)),"")</f>
        <v>105.6</v>
      </c>
      <c r="U54" s="7">
        <f t="array" ref="U54">IFERROR(INDEX('Team Ratings'!$S$2:$S$73,MATCH($A54,'Team Ratings'!$A$2:$A$73,0)),"")</f>
        <v>92.4</v>
      </c>
      <c r="V54" s="7">
        <f t="shared" si="13"/>
        <v>13.199999999999989</v>
      </c>
      <c r="W54" s="7">
        <f t="shared" si="14"/>
        <v>7.7999999999999883</v>
      </c>
      <c r="X54" s="7">
        <f t="shared" si="15"/>
        <v>7.35</v>
      </c>
      <c r="Y54" s="7">
        <f t="shared" si="16"/>
        <v>2.8</v>
      </c>
      <c r="Z54" s="7">
        <f t="shared" si="17"/>
        <v>1.6</v>
      </c>
      <c r="AA54" s="7">
        <f t="shared" si="18"/>
        <v>4.0999999999999996</v>
      </c>
      <c r="AB54" s="7">
        <f t="shared" si="19"/>
        <v>3.44</v>
      </c>
      <c r="AC54" s="12">
        <f t="shared" si="20"/>
        <v>-0.2102</v>
      </c>
      <c r="AD54" s="5" t="str">
        <f t="shared" si="21"/>
        <v>Michigan St.|North Dakota St.</v>
      </c>
      <c r="AE54" s="5" t="s">
        <v>139</v>
      </c>
      <c r="AF54" s="5" t="s">
        <v>140</v>
      </c>
      <c r="AG54" s="5" t="s">
        <v>132</v>
      </c>
      <c r="AH54" s="10" t="b">
        <f t="shared" si="22"/>
        <v>1</v>
      </c>
      <c r="AI54" s="5" t="str">
        <f t="array" ref="AI54">IFERROR(INDEX(Matchups!$N$2:$N$64,MATCH($AE54,Matchups!$A$2:$A$64,0)),"")</f>
        <v>Michigan St.</v>
      </c>
      <c r="AJ54" s="7">
        <f t="array" ref="AJ54">IFERROR(INDEX(Matchups!$O$2:$O$64,MATCH($AE54,Matchups!$A$2:$A$64,0)),"")</f>
        <v>55.2</v>
      </c>
      <c r="AK54" s="5" t="str">
        <f t="array" ref="AK54">IFERROR(INDEX(Matchups!$T$2:$T$64,MATCH($AE54,Matchups!$A$2:$A$64,0)),"")</f>
        <v>ΔComposite=0.43; AdjNET Δ=-19.3; 3PT Δ=0.4; TO Δ=2.4; REB Δ=-1.8</v>
      </c>
      <c r="AL54" s="5" t="str">
        <f t="array" ref="AL54">IFERROR(INDEX(Matchups!$P$2:$P$64,MATCH($AE54,Matchups!$A$2:$A$64,0)),"")</f>
        <v/>
      </c>
      <c r="AM54" s="5" t="str">
        <f t="shared" si="23"/>
        <v>No</v>
      </c>
      <c r="AN54" s="5" t="str">
        <f t="shared" si="24"/>
        <v/>
      </c>
      <c r="AO54" s="5" t="str">
        <f t="shared" si="25"/>
        <v/>
      </c>
    </row>
    <row r="55" spans="1:41" ht="20" customHeight="1" x14ac:dyDescent="0.2">
      <c r="A55" s="5" t="s">
        <v>94</v>
      </c>
      <c r="B55" s="10">
        <f t="array" ref="B55">IFERROR(INDEX('Team Ratings'!$B$2:$B$73,MATCH($A55,'Team Ratings'!$A$2:$A$73,0)),"")</f>
        <v>14</v>
      </c>
      <c r="C55" s="10" t="str">
        <f t="array" ref="C55">IFERROR(INDEX('Team Ratings'!$C$2:$C$73,MATCH($A55,'Team Ratings'!$A$2:$A$73,0)),"")</f>
        <v>Midwest</v>
      </c>
      <c r="D55" s="5" t="s">
        <v>81</v>
      </c>
      <c r="E55" s="10">
        <f t="array" ref="E55">IFERROR(INDEX('Team Ratings'!$B$2:$B$73,MATCH($D55,'Team Ratings'!$A$2:$A$73,0)),"")</f>
        <v>3</v>
      </c>
      <c r="F55" s="6">
        <f t="array" ref="F55">IFERROR(INDEX('Team Ratings'!$D$2:$D$73,MATCH($A55,'Team Ratings'!$A$2:$A$73,0)),"")</f>
        <v>0.58589999999999998</v>
      </c>
      <c r="G55" s="7">
        <f t="array" ref="G55">IFERROR(INDEX('Team Ratings'!$E$2:$E$73,MATCH($A55,'Team Ratings'!$A$2:$A$73,0)),"")</f>
        <v>112.4</v>
      </c>
      <c r="H55" s="7">
        <f t="array" ref="H55">IFERROR(INDEX('Team Ratings'!$F$2:$F$73,MATCH($A55,'Team Ratings'!$A$2:$A$73,0)),"")</f>
        <v>109</v>
      </c>
      <c r="I55" s="7">
        <f t="array" ref="I55">IFERROR(INDEX('Team Ratings'!$G$2:$G$73,MATCH($A55,'Team Ratings'!$A$2:$A$73,0)),"")</f>
        <v>3.4</v>
      </c>
      <c r="J55" s="7">
        <f t="array" ref="J55">IFERROR(INDEX('Team Ratings'!$H$2:$H$73,MATCH($A55,'Team Ratings'!$A$2:$A$73,0)),"")</f>
        <v>54.4</v>
      </c>
      <c r="K55" s="7">
        <f t="array" ref="K55">IFERROR(INDEX('Team Ratings'!$I$2:$I$73,MATCH($A55,'Team Ratings'!$A$2:$A$73,0)),"")</f>
        <v>52.1</v>
      </c>
      <c r="L55" s="7">
        <f t="array" ref="L55">IFERROR(INDEX('Team Ratings'!$J$2:$J$73,MATCH($A55,'Team Ratings'!$A$2:$A$73,0)),"")</f>
        <v>16.3</v>
      </c>
      <c r="M55" s="7">
        <f t="array" ref="M55">IFERROR(INDEX('Team Ratings'!$K$2:$K$73,MATCH($A55,'Team Ratings'!$A$2:$A$73,0)),"")</f>
        <v>16.5</v>
      </c>
      <c r="N55" s="7">
        <f t="array" ref="N55">IFERROR(INDEX('Team Ratings'!$L$2:$L$73,MATCH($A55,'Team Ratings'!$A$2:$A$73,0)),"")</f>
        <v>33.200000000000003</v>
      </c>
      <c r="O55" s="7">
        <f t="array" ref="O55">IFERROR(INDEX('Team Ratings'!$M$2:$M$73,MATCH($A55,'Team Ratings'!$A$2:$A$73,0)),"")</f>
        <v>29.2</v>
      </c>
      <c r="P55" s="7">
        <f t="array" ref="P55">IFERROR(INDEX('Team Ratings'!$N$2:$N$73,MATCH($A55,'Team Ratings'!$A$2:$A$73,0)),"")</f>
        <v>38</v>
      </c>
      <c r="Q55" s="7">
        <f t="array" ref="Q55">IFERROR(INDEX('Team Ratings'!$O$2:$O$73,MATCH($A55,'Team Ratings'!$A$2:$A$73,0)),"")</f>
        <v>36.1</v>
      </c>
      <c r="R55" s="7">
        <f t="array" ref="R55">IFERROR(INDEX('Team Ratings'!$P$2:$P$73,MATCH($A55,'Team Ratings'!$A$2:$A$73,0)),"")</f>
        <v>33.6</v>
      </c>
      <c r="S55" s="11">
        <f t="array" ref="S55">IFERROR(INDEX('Team Ratings'!$Q$2:$Q$73,MATCH($A55,'Team Ratings'!$A$2:$A$73,0)),0)</f>
        <v>0</v>
      </c>
      <c r="T55" s="7">
        <f t="array" ref="T55">IFERROR(INDEX('Team Ratings'!$R$2:$R$73,MATCH($A55,'Team Ratings'!$A$2:$A$73,0)),"")</f>
        <v>109.2</v>
      </c>
      <c r="U55" s="7">
        <f t="array" ref="U55">IFERROR(INDEX('Team Ratings'!$S$2:$S$73,MATCH($A55,'Team Ratings'!$A$2:$A$73,0)),"")</f>
        <v>102.6</v>
      </c>
      <c r="V55" s="7">
        <f t="shared" si="13"/>
        <v>6.6000000000000085</v>
      </c>
      <c r="W55" s="7">
        <f t="shared" si="14"/>
        <v>3.2000000000000086</v>
      </c>
      <c r="X55" s="7">
        <f t="shared" si="15"/>
        <v>4.2</v>
      </c>
      <c r="Y55" s="7">
        <f t="shared" si="16"/>
        <v>5.2</v>
      </c>
      <c r="Z55" s="7">
        <f t="shared" si="17"/>
        <v>0.5</v>
      </c>
      <c r="AA55" s="7">
        <f t="shared" si="18"/>
        <v>2.65</v>
      </c>
      <c r="AB55" s="7">
        <f t="shared" si="19"/>
        <v>2.96</v>
      </c>
      <c r="AC55" s="12">
        <f t="shared" si="20"/>
        <v>-0.36620000000000003</v>
      </c>
      <c r="AD55" s="5" t="str">
        <f t="shared" si="21"/>
        <v>Virginia|Wright St.</v>
      </c>
      <c r="AE55" s="5" t="s">
        <v>141</v>
      </c>
      <c r="AF55" s="5" t="s">
        <v>142</v>
      </c>
      <c r="AG55" s="5" t="s">
        <v>132</v>
      </c>
      <c r="AH55" s="10" t="b">
        <f t="shared" si="22"/>
        <v>1</v>
      </c>
      <c r="AI55" s="5" t="str">
        <f t="array" ref="AI55">IFERROR(INDEX(Matchups!$N$2:$N$64,MATCH($AE55,Matchups!$A$2:$A$64,0)),"")</f>
        <v>Virginia</v>
      </c>
      <c r="AJ55" s="7">
        <f t="array" ref="AJ55">IFERROR(INDEX(Matchups!$O$2:$O$64,MATCH($AE55,Matchups!$A$2:$A$64,0)),"")</f>
        <v>59.5</v>
      </c>
      <c r="AK55" s="5" t="str">
        <f t="array" ref="AK55">IFERROR(INDEX(Matchups!$T$2:$T$64,MATCH($AE55,Matchups!$A$2:$A$64,0)),"")</f>
        <v>ΔComposite=0.79; AdjNET Δ=23.4; 3PT Δ=-2.9; TO Δ=-1.2; REB Δ=4.7</v>
      </c>
      <c r="AL55" s="5" t="str">
        <f t="array" ref="AL55">IFERROR(INDEX(Matchups!$P$2:$P$64,MATCH($AE55,Matchups!$A$2:$A$64,0)),"")</f>
        <v/>
      </c>
      <c r="AM55" s="5" t="str">
        <f t="shared" si="23"/>
        <v>No</v>
      </c>
      <c r="AN55" s="5" t="str">
        <f t="shared" si="24"/>
        <v/>
      </c>
      <c r="AO55" s="5" t="str">
        <f t="shared" si="25"/>
        <v/>
      </c>
    </row>
    <row r="56" spans="1:41" ht="20" customHeight="1" x14ac:dyDescent="0.2">
      <c r="A56" s="5" t="s">
        <v>73</v>
      </c>
      <c r="B56" s="10">
        <f t="array" ref="B56">IFERROR(INDEX('Team Ratings'!$B$2:$B$73,MATCH($A56,'Team Ratings'!$A$2:$A$73,0)),"")</f>
        <v>14</v>
      </c>
      <c r="C56" s="10" t="str">
        <f t="array" ref="C56">IFERROR(INDEX('Team Ratings'!$C$2:$C$73,MATCH($A56,'Team Ratings'!$A$2:$A$73,0)),"")</f>
        <v>South</v>
      </c>
      <c r="D56" s="5" t="s">
        <v>62</v>
      </c>
      <c r="E56" s="10">
        <f t="array" ref="E56">IFERROR(INDEX('Team Ratings'!$B$2:$B$73,MATCH($D56,'Team Ratings'!$A$2:$A$73,0)),"")</f>
        <v>3</v>
      </c>
      <c r="F56" s="6">
        <f t="array" ref="F56">IFERROR(INDEX('Team Ratings'!$D$2:$D$73,MATCH($A56,'Team Ratings'!$A$2:$A$73,0)),"")</f>
        <v>0.53159999999999996</v>
      </c>
      <c r="G56" s="7">
        <f t="array" ref="G56">IFERROR(INDEX('Team Ratings'!$E$2:$E$73,MATCH($A56,'Team Ratings'!$A$2:$A$73,0)),"")</f>
        <v>106.6</v>
      </c>
      <c r="H56" s="7">
        <f t="array" ref="H56">IFERROR(INDEX('Team Ratings'!$F$2:$F$73,MATCH($A56,'Team Ratings'!$A$2:$A$73,0)),"")</f>
        <v>105.4</v>
      </c>
      <c r="I56" s="7">
        <f t="array" ref="I56">IFERROR(INDEX('Team Ratings'!$G$2:$G$73,MATCH($A56,'Team Ratings'!$A$2:$A$73,0)),"")</f>
        <v>1.2</v>
      </c>
      <c r="J56" s="7">
        <f t="array" ref="J56">IFERROR(INDEX('Team Ratings'!$H$2:$H$73,MATCH($A56,'Team Ratings'!$A$2:$A$73,0)),"")</f>
        <v>50.3</v>
      </c>
      <c r="K56" s="7">
        <f t="array" ref="K56">IFERROR(INDEX('Team Ratings'!$I$2:$I$73,MATCH($A56,'Team Ratings'!$A$2:$A$73,0)),"")</f>
        <v>51.7</v>
      </c>
      <c r="L56" s="7">
        <f t="array" ref="L56">IFERROR(INDEX('Team Ratings'!$J$2:$J$73,MATCH($A56,'Team Ratings'!$A$2:$A$73,0)),"")</f>
        <v>15.4</v>
      </c>
      <c r="M56" s="7">
        <f t="array" ref="M56">IFERROR(INDEX('Team Ratings'!$K$2:$K$73,MATCH($A56,'Team Ratings'!$A$2:$A$73,0)),"")</f>
        <v>17.8</v>
      </c>
      <c r="N56" s="7">
        <f t="array" ref="N56">IFERROR(INDEX('Team Ratings'!$L$2:$L$73,MATCH($A56,'Team Ratings'!$A$2:$A$73,0)),"")</f>
        <v>30.3</v>
      </c>
      <c r="O56" s="7">
        <f t="array" ref="O56">IFERROR(INDEX('Team Ratings'!$M$2:$M$73,MATCH($A56,'Team Ratings'!$A$2:$A$73,0)),"")</f>
        <v>30.5</v>
      </c>
      <c r="P56" s="7">
        <f t="array" ref="P56">IFERROR(INDEX('Team Ratings'!$N$2:$N$73,MATCH($A56,'Team Ratings'!$A$2:$A$73,0)),"")</f>
        <v>35.200000000000003</v>
      </c>
      <c r="Q56" s="7">
        <f t="array" ref="Q56">IFERROR(INDEX('Team Ratings'!$O$2:$O$73,MATCH($A56,'Team Ratings'!$A$2:$A$73,0)),"")</f>
        <v>38.700000000000003</v>
      </c>
      <c r="R56" s="7">
        <f t="array" ref="R56">IFERROR(INDEX('Team Ratings'!$P$2:$P$73,MATCH($A56,'Team Ratings'!$A$2:$A$73,0)),"")</f>
        <v>31.7</v>
      </c>
      <c r="S56" s="11">
        <f t="array" ref="S56">IFERROR(INDEX('Team Ratings'!$Q$2:$Q$73,MATCH($A56,'Team Ratings'!$A$2:$A$73,0)),0)</f>
        <v>0</v>
      </c>
      <c r="T56" s="7">
        <f t="array" ref="T56">IFERROR(INDEX('Team Ratings'!$R$2:$R$73,MATCH($A56,'Team Ratings'!$A$2:$A$73,0)),"")</f>
        <v>108.7</v>
      </c>
      <c r="U56" s="7">
        <f t="array" ref="U56">IFERROR(INDEX('Team Ratings'!$S$2:$S$73,MATCH($A56,'Team Ratings'!$A$2:$A$73,0)),"")</f>
        <v>97.2</v>
      </c>
      <c r="V56" s="7">
        <f t="shared" si="13"/>
        <v>11.5</v>
      </c>
      <c r="W56" s="7">
        <f t="shared" si="14"/>
        <v>10.3</v>
      </c>
      <c r="X56" s="7">
        <f t="shared" si="15"/>
        <v>3.7749999999999999</v>
      </c>
      <c r="Y56" s="7">
        <f t="shared" si="16"/>
        <v>7.3</v>
      </c>
      <c r="Z56" s="7">
        <f t="shared" si="17"/>
        <v>4.5999999999999996</v>
      </c>
      <c r="AA56" s="7">
        <f t="shared" si="18"/>
        <v>2.5499999999999998</v>
      </c>
      <c r="AB56" s="7">
        <f t="shared" si="19"/>
        <v>3.53</v>
      </c>
      <c r="AC56" s="12">
        <f t="shared" si="20"/>
        <v>6.9800000000000001E-2</v>
      </c>
      <c r="AD56" s="5" t="str">
        <f t="shared" si="21"/>
        <v>Illinois|Penn</v>
      </c>
      <c r="AE56" s="5" t="s">
        <v>143</v>
      </c>
      <c r="AF56" s="5" t="s">
        <v>144</v>
      </c>
      <c r="AG56" s="5" t="s">
        <v>132</v>
      </c>
      <c r="AH56" s="10" t="b">
        <f t="shared" si="22"/>
        <v>1</v>
      </c>
      <c r="AI56" s="5" t="str">
        <f t="array" ref="AI56">IFERROR(INDEX(Matchups!$N$2:$N$64,MATCH($AE56,Matchups!$A$2:$A$64,0)),"")</f>
        <v>Illinois</v>
      </c>
      <c r="AJ56" s="7">
        <f t="array" ref="AJ56">IFERROR(INDEX(Matchups!$O$2:$O$64,MATCH($AE56,Matchups!$A$2:$A$64,0)),"")</f>
        <v>52.2</v>
      </c>
      <c r="AK56" s="5" t="str">
        <f t="array" ref="AK56">IFERROR(INDEX(Matchups!$T$2:$T$64,MATCH($AE56,Matchups!$A$2:$A$64,0)),"")</f>
        <v>ΔComposite=0.19; AdjNET Δ=28.3; 3PT Δ=-4.3; TO Δ=-8.4; REB Δ=4.9</v>
      </c>
      <c r="AL56" s="5" t="str">
        <f t="array" ref="AL56">IFERROR(INDEX(Matchups!$P$2:$P$64,MATCH($AE56,Matchups!$A$2:$A$64,0)),"")</f>
        <v/>
      </c>
      <c r="AM56" s="5" t="str">
        <f t="shared" si="23"/>
        <v>No</v>
      </c>
      <c r="AN56" s="5" t="str">
        <f t="shared" si="24"/>
        <v/>
      </c>
      <c r="AO56" s="5" t="str">
        <f t="shared" si="25"/>
        <v/>
      </c>
    </row>
    <row r="57" spans="1:41" ht="20" customHeight="1" x14ac:dyDescent="0.2">
      <c r="A57" s="5" t="s">
        <v>56</v>
      </c>
      <c r="B57" s="10">
        <f t="array" ref="B57">IFERROR(INDEX('Team Ratings'!$B$2:$B$73,MATCH($A57,'Team Ratings'!$A$2:$A$73,0)),"")</f>
        <v>14</v>
      </c>
      <c r="C57" s="10" t="str">
        <f t="array" ref="C57">IFERROR(INDEX('Team Ratings'!$C$2:$C$73,MATCH($A57,'Team Ratings'!$A$2:$A$73,0)),"")</f>
        <v>West</v>
      </c>
      <c r="D57" s="5" t="s">
        <v>42</v>
      </c>
      <c r="E57" s="10">
        <f t="array" ref="E57">IFERROR(INDEX('Team Ratings'!$B$2:$B$73,MATCH($D57,'Team Ratings'!$A$2:$A$73,0)),"")</f>
        <v>3</v>
      </c>
      <c r="F57" s="6">
        <f t="array" ref="F57">IFERROR(INDEX('Team Ratings'!$D$2:$D$73,MATCH($A57,'Team Ratings'!$A$2:$A$73,0)),"")</f>
        <v>0.53380000000000005</v>
      </c>
      <c r="G57" s="7">
        <f t="array" ref="G57">IFERROR(INDEX('Team Ratings'!$E$2:$E$73,MATCH($A57,'Team Ratings'!$A$2:$A$73,0)),"")</f>
        <v>110.8</v>
      </c>
      <c r="H57" s="7">
        <f t="array" ref="H57">IFERROR(INDEX('Team Ratings'!$F$2:$F$73,MATCH($A57,'Team Ratings'!$A$2:$A$73,0)),"")</f>
        <v>109.5</v>
      </c>
      <c r="I57" s="7">
        <f t="array" ref="I57">IFERROR(INDEX('Team Ratings'!$G$2:$G$73,MATCH($A57,'Team Ratings'!$A$2:$A$73,0)),"")</f>
        <v>1.3</v>
      </c>
      <c r="J57" s="7">
        <f t="array" ref="J57">IFERROR(INDEX('Team Ratings'!$H$2:$H$73,MATCH($A57,'Team Ratings'!$A$2:$A$73,0)),"")</f>
        <v>50.7</v>
      </c>
      <c r="K57" s="7">
        <f t="array" ref="K57">IFERROR(INDEX('Team Ratings'!$I$2:$I$73,MATCH($A57,'Team Ratings'!$A$2:$A$73,0)),"")</f>
        <v>48.5</v>
      </c>
      <c r="L57" s="7">
        <f t="array" ref="L57">IFERROR(INDEX('Team Ratings'!$J$2:$J$73,MATCH($A57,'Team Ratings'!$A$2:$A$73,0)),"")</f>
        <v>16.7</v>
      </c>
      <c r="M57" s="7">
        <f t="array" ref="M57">IFERROR(INDEX('Team Ratings'!$K$2:$K$73,MATCH($A57,'Team Ratings'!$A$2:$A$73,0)),"")</f>
        <v>16.100000000000001</v>
      </c>
      <c r="N57" s="7">
        <f t="array" ref="N57">IFERROR(INDEX('Team Ratings'!$L$2:$L$73,MATCH($A57,'Team Ratings'!$A$2:$A$73,0)),"")</f>
        <v>35.5</v>
      </c>
      <c r="O57" s="7">
        <f t="array" ref="O57">IFERROR(INDEX('Team Ratings'!$M$2:$M$73,MATCH($A57,'Team Ratings'!$A$2:$A$73,0)),"")</f>
        <v>31.3</v>
      </c>
      <c r="P57" s="7">
        <f t="array" ref="P57">IFERROR(INDEX('Team Ratings'!$N$2:$N$73,MATCH($A57,'Team Ratings'!$A$2:$A$73,0)),"")</f>
        <v>45.1</v>
      </c>
      <c r="Q57" s="7">
        <f t="array" ref="Q57">IFERROR(INDEX('Team Ratings'!$O$2:$O$73,MATCH($A57,'Team Ratings'!$A$2:$A$73,0)),"")</f>
        <v>33.700000000000003</v>
      </c>
      <c r="R57" s="7">
        <f t="array" ref="R57">IFERROR(INDEX('Team Ratings'!$P$2:$P$73,MATCH($A57,'Team Ratings'!$A$2:$A$73,0)),"")</f>
        <v>33.9</v>
      </c>
      <c r="S57" s="11">
        <f t="array" ref="S57">IFERROR(INDEX('Team Ratings'!$Q$2:$Q$73,MATCH($A57,'Team Ratings'!$A$2:$A$73,0)),0)</f>
        <v>0</v>
      </c>
      <c r="T57" s="7">
        <f t="array" ref="T57">IFERROR(INDEX('Team Ratings'!$R$2:$R$73,MATCH($A57,'Team Ratings'!$A$2:$A$73,0)),"")</f>
        <v>111.5</v>
      </c>
      <c r="U57" s="7">
        <f t="array" ref="U57">IFERROR(INDEX('Team Ratings'!$S$2:$S$73,MATCH($A57,'Team Ratings'!$A$2:$A$73,0)),"")</f>
        <v>109</v>
      </c>
      <c r="V57" s="7">
        <f t="shared" si="13"/>
        <v>2.5</v>
      </c>
      <c r="W57" s="7">
        <f t="shared" si="14"/>
        <v>1.2</v>
      </c>
      <c r="X57" s="7">
        <f t="shared" si="15"/>
        <v>1.6</v>
      </c>
      <c r="Y57" s="7">
        <f t="shared" si="16"/>
        <v>2.9</v>
      </c>
      <c r="Z57" s="7">
        <f t="shared" si="17"/>
        <v>2.4</v>
      </c>
      <c r="AA57" s="7">
        <f t="shared" si="18"/>
        <v>8.0500000000000007</v>
      </c>
      <c r="AB57" s="7">
        <f t="shared" si="19"/>
        <v>2.72</v>
      </c>
      <c r="AC57" s="12">
        <f t="shared" si="20"/>
        <v>-0.39500000000000002</v>
      </c>
      <c r="AD57" s="5" t="str">
        <f t="shared" si="21"/>
        <v>Gonzaga|Kennesaw St.</v>
      </c>
      <c r="AE57" s="5" t="s">
        <v>145</v>
      </c>
      <c r="AF57" s="5" t="s">
        <v>146</v>
      </c>
      <c r="AG57" s="5" t="s">
        <v>132</v>
      </c>
      <c r="AH57" s="10" t="b">
        <f t="shared" si="22"/>
        <v>1</v>
      </c>
      <c r="AI57" s="5" t="str">
        <f t="array" ref="AI57">IFERROR(INDEX(Matchups!$N$2:$N$64,MATCH($AE57,Matchups!$A$2:$A$64,0)),"")</f>
        <v>Gonzaga</v>
      </c>
      <c r="AJ57" s="7">
        <f t="array" ref="AJ57">IFERROR(INDEX(Matchups!$O$2:$O$64,MATCH($AE57,Matchups!$A$2:$A$64,0)),"")</f>
        <v>55.5</v>
      </c>
      <c r="AK57" s="5" t="str">
        <f t="array" ref="AK57">IFERROR(INDEX(Matchups!$T$2:$T$64,MATCH($AE57,Matchups!$A$2:$A$64,0)),"")</f>
        <v>ΔComposite=0.46; AdjNET Δ=-24.5; 3PT Δ=2.8; TO Δ=-1.4; REB Δ=6.1</v>
      </c>
      <c r="AL57" s="5" t="str">
        <f t="array" ref="AL57">IFERROR(INDEX(Matchups!$P$2:$P$64,MATCH($AE57,Matchups!$A$2:$A$64,0)),"")</f>
        <v/>
      </c>
      <c r="AM57" s="5" t="str">
        <f t="shared" si="23"/>
        <v>No</v>
      </c>
      <c r="AN57" s="5" t="str">
        <f t="shared" si="24"/>
        <v/>
      </c>
      <c r="AO57" s="5" t="str">
        <f t="shared" si="25"/>
        <v/>
      </c>
    </row>
    <row r="58" spans="1:41" ht="20" customHeight="1" x14ac:dyDescent="0.2">
      <c r="A58" s="5" t="s">
        <v>37</v>
      </c>
      <c r="B58" s="10">
        <f t="array" ref="B58">IFERROR(INDEX('Team Ratings'!$B$2:$B$73,MATCH($A58,'Team Ratings'!$A$2:$A$73,0)),"")</f>
        <v>15</v>
      </c>
      <c r="C58" s="10" t="str">
        <f t="array" ref="C58">IFERROR(INDEX('Team Ratings'!$C$2:$C$73,MATCH($A58,'Team Ratings'!$A$2:$A$73,0)),"")</f>
        <v>East</v>
      </c>
      <c r="D58" s="5" t="s">
        <v>24</v>
      </c>
      <c r="E58" s="10">
        <f t="array" ref="E58">IFERROR(INDEX('Team Ratings'!$B$2:$B$73,MATCH($D58,'Team Ratings'!$A$2:$A$73,0)),"")</f>
        <v>2</v>
      </c>
      <c r="F58" s="6">
        <f t="array" ref="F58">IFERROR(INDEX('Team Ratings'!$D$2:$D$73,MATCH($A58,'Team Ratings'!$A$2:$A$73,0)),"")</f>
        <v>0.44419999999999998</v>
      </c>
      <c r="G58" s="7">
        <f t="array" ref="G58">IFERROR(INDEX('Team Ratings'!$E$2:$E$73,MATCH($A58,'Team Ratings'!$A$2:$A$73,0)),"")</f>
        <v>106.9</v>
      </c>
      <c r="H58" s="7">
        <f t="array" ref="H58">IFERROR(INDEX('Team Ratings'!$F$2:$F$73,MATCH($A58,'Team Ratings'!$A$2:$A$73,0)),"")</f>
        <v>109</v>
      </c>
      <c r="I58" s="7">
        <f t="array" ref="I58">IFERROR(INDEX('Team Ratings'!$G$2:$G$73,MATCH($A58,'Team Ratings'!$A$2:$A$73,0)),"")</f>
        <v>-2.1</v>
      </c>
      <c r="J58" s="7">
        <f t="array" ref="J58">IFERROR(INDEX('Team Ratings'!$H$2:$H$73,MATCH($A58,'Team Ratings'!$A$2:$A$73,0)),"")</f>
        <v>54.8</v>
      </c>
      <c r="K58" s="7">
        <f t="array" ref="K58">IFERROR(INDEX('Team Ratings'!$I$2:$I$73,MATCH($A58,'Team Ratings'!$A$2:$A$73,0)),"")</f>
        <v>54.8</v>
      </c>
      <c r="L58" s="7">
        <f t="array" ref="L58">IFERROR(INDEX('Team Ratings'!$J$2:$J$73,MATCH($A58,'Team Ratings'!$A$2:$A$73,0)),"")</f>
        <v>17.8</v>
      </c>
      <c r="M58" s="7">
        <f t="array" ref="M58">IFERROR(INDEX('Team Ratings'!$K$2:$K$73,MATCH($A58,'Team Ratings'!$A$2:$A$73,0)),"")</f>
        <v>13.7</v>
      </c>
      <c r="N58" s="7">
        <f t="array" ref="N58">IFERROR(INDEX('Team Ratings'!$L$2:$L$73,MATCH($A58,'Team Ratings'!$A$2:$A$73,0)),"")</f>
        <v>31</v>
      </c>
      <c r="O58" s="7">
        <f t="array" ref="O58">IFERROR(INDEX('Team Ratings'!$M$2:$M$73,MATCH($A58,'Team Ratings'!$A$2:$A$73,0)),"")</f>
        <v>27.5</v>
      </c>
      <c r="P58" s="7">
        <f t="array" ref="P58">IFERROR(INDEX('Team Ratings'!$N$2:$N$73,MATCH($A58,'Team Ratings'!$A$2:$A$73,0)),"")</f>
        <v>32.1</v>
      </c>
      <c r="Q58" s="7">
        <f t="array" ref="Q58">IFERROR(INDEX('Team Ratings'!$O$2:$O$73,MATCH($A58,'Team Ratings'!$A$2:$A$73,0)),"")</f>
        <v>33.299999999999997</v>
      </c>
      <c r="R58" s="7">
        <f t="array" ref="R58">IFERROR(INDEX('Team Ratings'!$P$2:$P$73,MATCH($A58,'Team Ratings'!$A$2:$A$73,0)),"")</f>
        <v>32.6</v>
      </c>
      <c r="S58" s="11">
        <f t="array" ref="S58">IFERROR(INDEX('Team Ratings'!$Q$2:$Q$73,MATCH($A58,'Team Ratings'!$A$2:$A$73,0)),0)</f>
        <v>0</v>
      </c>
      <c r="T58" s="7">
        <f t="array" ref="T58">IFERROR(INDEX('Team Ratings'!$R$2:$R$73,MATCH($A58,'Team Ratings'!$A$2:$A$73,0)),"")</f>
        <v>116.7</v>
      </c>
      <c r="U58" s="7">
        <f t="array" ref="U58">IFERROR(INDEX('Team Ratings'!$S$2:$S$73,MATCH($A58,'Team Ratings'!$A$2:$A$73,0)),"")</f>
        <v>112.8</v>
      </c>
      <c r="V58" s="7">
        <f t="shared" si="13"/>
        <v>3.9000000000000057</v>
      </c>
      <c r="W58" s="7">
        <f t="shared" si="14"/>
        <v>6.0000000000000053</v>
      </c>
      <c r="X58" s="7">
        <f t="shared" si="15"/>
        <v>-0.6</v>
      </c>
      <c r="Y58" s="7">
        <f t="shared" si="16"/>
        <v>3</v>
      </c>
      <c r="Z58" s="7">
        <f t="shared" si="17"/>
        <v>-3.1</v>
      </c>
      <c r="AA58" s="7">
        <f t="shared" si="18"/>
        <v>2.0499999999999998</v>
      </c>
      <c r="AB58" s="7">
        <f t="shared" si="19"/>
        <v>2.34</v>
      </c>
      <c r="AC58" s="12">
        <f t="shared" si="20"/>
        <v>-0.74939999999999996</v>
      </c>
      <c r="AD58" s="5" t="str">
        <f t="shared" si="21"/>
        <v>Connecticut|Furman</v>
      </c>
      <c r="AE58" s="5" t="s">
        <v>130</v>
      </c>
      <c r="AF58" s="5" t="s">
        <v>131</v>
      </c>
      <c r="AG58" s="5" t="s">
        <v>132</v>
      </c>
      <c r="AH58" s="10" t="b">
        <f t="shared" si="22"/>
        <v>1</v>
      </c>
      <c r="AI58" s="5" t="str">
        <f t="array" ref="AI58">IFERROR(INDEX(Matchups!$N$2:$N$64,MATCH($AE58,Matchups!$A$2:$A$64,0)),"")</f>
        <v>Connecticut</v>
      </c>
      <c r="AJ58" s="7">
        <f t="array" ref="AJ58">IFERROR(INDEX(Matchups!$O$2:$O$64,MATCH($AE58,Matchups!$A$2:$A$64,0)),"")</f>
        <v>60.5</v>
      </c>
      <c r="AK58" s="5" t="str">
        <f t="array" ref="AK58">IFERROR(INDEX(Matchups!$T$2:$T$64,MATCH($AE58,Matchups!$A$2:$A$64,0)),"")</f>
        <v>ΔComposite=0.88; AdjNET Δ=-26.6; 3PT Δ=0.4; TO Δ=-3.3; REB Δ=-5.9</v>
      </c>
      <c r="AL58" s="5" t="str">
        <f t="array" ref="AL58">IFERROR(INDEX(Matchups!$P$2:$P$64,MATCH($AE58,Matchups!$A$2:$A$64,0)),"")</f>
        <v/>
      </c>
      <c r="AM58" s="5" t="str">
        <f t="shared" si="23"/>
        <v>No</v>
      </c>
      <c r="AN58" s="5" t="str">
        <f t="shared" si="24"/>
        <v/>
      </c>
      <c r="AO58" s="5" t="str">
        <f t="shared" si="25"/>
        <v/>
      </c>
    </row>
    <row r="59" spans="1:41" ht="20" customHeight="1" x14ac:dyDescent="0.2">
      <c r="A59" s="5" t="s">
        <v>95</v>
      </c>
      <c r="B59" s="10">
        <f t="array" ref="B59">IFERROR(INDEX('Team Ratings'!$B$2:$B$73,MATCH($A59,'Team Ratings'!$A$2:$A$73,0)),"")</f>
        <v>15</v>
      </c>
      <c r="C59" s="10" t="str">
        <f t="array" ref="C59">IFERROR(INDEX('Team Ratings'!$C$2:$C$73,MATCH($A59,'Team Ratings'!$A$2:$A$73,0)),"")</f>
        <v>Midwest</v>
      </c>
      <c r="D59" s="5" t="s">
        <v>80</v>
      </c>
      <c r="E59" s="10">
        <f t="array" ref="E59">IFERROR(INDEX('Team Ratings'!$B$2:$B$73,MATCH($D59,'Team Ratings'!$A$2:$A$73,0)),"")</f>
        <v>2</v>
      </c>
      <c r="F59" s="6">
        <f t="array" ref="F59">IFERROR(INDEX('Team Ratings'!$D$2:$D$73,MATCH($A59,'Team Ratings'!$A$2:$A$73,0)),"")</f>
        <v>0.39510000000000001</v>
      </c>
      <c r="G59" s="7">
        <f t="array" ref="G59">IFERROR(INDEX('Team Ratings'!$E$2:$E$73,MATCH($A59,'Team Ratings'!$A$2:$A$73,0)),"")</f>
        <v>107.8</v>
      </c>
      <c r="H59" s="7">
        <f t="array" ref="H59">IFERROR(INDEX('Team Ratings'!$F$2:$F$73,MATCH($A59,'Team Ratings'!$A$2:$A$73,0)),"")</f>
        <v>111.9</v>
      </c>
      <c r="I59" s="7">
        <f t="array" ref="I59">IFERROR(INDEX('Team Ratings'!$G$2:$G$73,MATCH($A59,'Team Ratings'!$A$2:$A$73,0)),"")</f>
        <v>-4.0999999999999996</v>
      </c>
      <c r="J59" s="7">
        <f t="array" ref="J59">IFERROR(INDEX('Team Ratings'!$H$2:$H$73,MATCH($A59,'Team Ratings'!$A$2:$A$73,0)),"")</f>
        <v>50.1</v>
      </c>
      <c r="K59" s="7">
        <f t="array" ref="K59">IFERROR(INDEX('Team Ratings'!$I$2:$I$73,MATCH($A59,'Team Ratings'!$A$2:$A$73,0)),"")</f>
        <v>51.2</v>
      </c>
      <c r="L59" s="7">
        <f t="array" ref="L59">IFERROR(INDEX('Team Ratings'!$J$2:$J$73,MATCH($A59,'Team Ratings'!$A$2:$A$73,0)),"")</f>
        <v>16.5</v>
      </c>
      <c r="M59" s="7">
        <f t="array" ref="M59">IFERROR(INDEX('Team Ratings'!$K$2:$K$73,MATCH($A59,'Team Ratings'!$A$2:$A$73,0)),"")</f>
        <v>20</v>
      </c>
      <c r="N59" s="7">
        <f t="array" ref="N59">IFERROR(INDEX('Team Ratings'!$L$2:$L$73,MATCH($A59,'Team Ratings'!$A$2:$A$73,0)),"")</f>
        <v>34.9</v>
      </c>
      <c r="O59" s="7">
        <f t="array" ref="O59">IFERROR(INDEX('Team Ratings'!$M$2:$M$73,MATCH($A59,'Team Ratings'!$A$2:$A$73,0)),"")</f>
        <v>29.9</v>
      </c>
      <c r="P59" s="7">
        <f t="array" ref="P59">IFERROR(INDEX('Team Ratings'!$N$2:$N$73,MATCH($A59,'Team Ratings'!$A$2:$A$73,0)),"")</f>
        <v>33.5</v>
      </c>
      <c r="Q59" s="7">
        <f t="array" ref="Q59">IFERROR(INDEX('Team Ratings'!$O$2:$O$73,MATCH($A59,'Team Ratings'!$A$2:$A$73,0)),"")</f>
        <v>33.700000000000003</v>
      </c>
      <c r="R59" s="7">
        <f t="array" ref="R59">IFERROR(INDEX('Team Ratings'!$P$2:$P$73,MATCH($A59,'Team Ratings'!$A$2:$A$73,0)),"")</f>
        <v>33.5</v>
      </c>
      <c r="S59" s="11">
        <f t="array" ref="S59">IFERROR(INDEX('Team Ratings'!$Q$2:$Q$73,MATCH($A59,'Team Ratings'!$A$2:$A$73,0)),0)</f>
        <v>0</v>
      </c>
      <c r="T59" s="7">
        <f t="array" ref="T59">IFERROR(INDEX('Team Ratings'!$R$2:$R$73,MATCH($A59,'Team Ratings'!$A$2:$A$73,0)),"")</f>
        <v>119.2</v>
      </c>
      <c r="U59" s="7">
        <f t="array" ref="U59">IFERROR(INDEX('Team Ratings'!$S$2:$S$73,MATCH($A59,'Team Ratings'!$A$2:$A$73,0)),"")</f>
        <v>99.4</v>
      </c>
      <c r="V59" s="7">
        <f t="shared" si="13"/>
        <v>19.799999999999997</v>
      </c>
      <c r="W59" s="7">
        <f t="shared" si="14"/>
        <v>23.9</v>
      </c>
      <c r="X59" s="7">
        <f t="shared" si="15"/>
        <v>1.875</v>
      </c>
      <c r="Y59" s="7">
        <f t="shared" si="16"/>
        <v>1.6</v>
      </c>
      <c r="Z59" s="7">
        <f t="shared" si="17"/>
        <v>4.9000000000000004</v>
      </c>
      <c r="AA59" s="7">
        <f t="shared" si="18"/>
        <v>5.7</v>
      </c>
      <c r="AB59" s="7">
        <f t="shared" si="19"/>
        <v>4.18</v>
      </c>
      <c r="AC59" s="12">
        <f t="shared" si="20"/>
        <v>0.1061</v>
      </c>
      <c r="AD59" s="5" t="str">
        <f t="shared" si="21"/>
        <v>Iowa St.|Tennessee St.</v>
      </c>
      <c r="AE59" s="5" t="s">
        <v>133</v>
      </c>
      <c r="AF59" s="5" t="s">
        <v>134</v>
      </c>
      <c r="AG59" s="5" t="s">
        <v>132</v>
      </c>
      <c r="AH59" s="10" t="b">
        <f t="shared" si="22"/>
        <v>1</v>
      </c>
      <c r="AI59" s="5" t="str">
        <f t="array" ref="AI59">IFERROR(INDEX(Matchups!$N$2:$N$64,MATCH($AE59,Matchups!$A$2:$A$64,0)),"")</f>
        <v>Iowa St.</v>
      </c>
      <c r="AJ59" s="7">
        <f t="array" ref="AJ59">IFERROR(INDEX(Matchups!$O$2:$O$64,MATCH($AE59,Matchups!$A$2:$A$64,0)),"")</f>
        <v>61.2</v>
      </c>
      <c r="AK59" s="5" t="str">
        <f t="array" ref="AK59">IFERROR(INDEX(Matchups!$T$2:$T$64,MATCH($AE59,Matchups!$A$2:$A$64,0)),"")</f>
        <v>ΔComposite=0.93; AdjNET Δ=31.4; 3PT Δ=3.6; TO Δ=1; REB Δ=-1.4</v>
      </c>
      <c r="AL59" s="5" t="str">
        <f t="array" ref="AL59">IFERROR(INDEX(Matchups!$P$2:$P$64,MATCH($AE59,Matchups!$A$2:$A$64,0)),"")</f>
        <v/>
      </c>
      <c r="AM59" s="5" t="str">
        <f t="shared" si="23"/>
        <v>No</v>
      </c>
      <c r="AN59" s="5" t="str">
        <f t="shared" si="24"/>
        <v/>
      </c>
      <c r="AO59" s="5" t="str">
        <f t="shared" si="25"/>
        <v/>
      </c>
    </row>
    <row r="60" spans="1:41" ht="20" customHeight="1" x14ac:dyDescent="0.2">
      <c r="A60" s="5" t="s">
        <v>74</v>
      </c>
      <c r="B60" s="10">
        <f t="array" ref="B60">IFERROR(INDEX('Team Ratings'!$B$2:$B$73,MATCH($A60,'Team Ratings'!$A$2:$A$73,0)),"")</f>
        <v>15</v>
      </c>
      <c r="C60" s="10" t="str">
        <f t="array" ref="C60">IFERROR(INDEX('Team Ratings'!$C$2:$C$73,MATCH($A60,'Team Ratings'!$A$2:$A$73,0)),"")</f>
        <v>South</v>
      </c>
      <c r="D60" s="5" t="s">
        <v>61</v>
      </c>
      <c r="E60" s="10">
        <f t="array" ref="E60">IFERROR(INDEX('Team Ratings'!$B$2:$B$73,MATCH($D60,'Team Ratings'!$A$2:$A$73,0)),"")</f>
        <v>2</v>
      </c>
      <c r="F60" s="6">
        <f t="array" ref="F60">IFERROR(INDEX('Team Ratings'!$D$2:$D$73,MATCH($A60,'Team Ratings'!$A$2:$A$73,0)),"")</f>
        <v>0.57050000000000001</v>
      </c>
      <c r="G60" s="7">
        <f t="array" ref="G60">IFERROR(INDEX('Team Ratings'!$E$2:$E$73,MATCH($A60,'Team Ratings'!$A$2:$A$73,0)),"")</f>
        <v>108.8</v>
      </c>
      <c r="H60" s="7">
        <f t="array" ref="H60">IFERROR(INDEX('Team Ratings'!$F$2:$F$73,MATCH($A60,'Team Ratings'!$A$2:$A$73,0)),"")</f>
        <v>106.2</v>
      </c>
      <c r="I60" s="7">
        <f t="array" ref="I60">IFERROR(INDEX('Team Ratings'!$G$2:$G$73,MATCH($A60,'Team Ratings'!$A$2:$A$73,0)),"")</f>
        <v>2.6</v>
      </c>
      <c r="J60" s="7">
        <f t="array" ref="J60">IFERROR(INDEX('Team Ratings'!$H$2:$H$73,MATCH($A60,'Team Ratings'!$A$2:$A$73,0)),"")</f>
        <v>51.9</v>
      </c>
      <c r="K60" s="7">
        <f t="array" ref="K60">IFERROR(INDEX('Team Ratings'!$I$2:$I$73,MATCH($A60,'Team Ratings'!$A$2:$A$73,0)),"")</f>
        <v>50.3</v>
      </c>
      <c r="L60" s="7">
        <f t="array" ref="L60">IFERROR(INDEX('Team Ratings'!$J$2:$J$73,MATCH($A60,'Team Ratings'!$A$2:$A$73,0)),"")</f>
        <v>15</v>
      </c>
      <c r="M60" s="7">
        <f t="array" ref="M60">IFERROR(INDEX('Team Ratings'!$K$2:$K$73,MATCH($A60,'Team Ratings'!$A$2:$A$73,0)),"")</f>
        <v>15.2</v>
      </c>
      <c r="N60" s="7">
        <f t="array" ref="N60">IFERROR(INDEX('Team Ratings'!$L$2:$L$73,MATCH($A60,'Team Ratings'!$A$2:$A$73,0)),"")</f>
        <v>28.9</v>
      </c>
      <c r="O60" s="7">
        <f t="array" ref="O60">IFERROR(INDEX('Team Ratings'!$M$2:$M$73,MATCH($A60,'Team Ratings'!$A$2:$A$73,0)),"")</f>
        <v>24.2</v>
      </c>
      <c r="P60" s="7">
        <f t="array" ref="P60">IFERROR(INDEX('Team Ratings'!$N$2:$N$73,MATCH($A60,'Team Ratings'!$A$2:$A$73,0)),"")</f>
        <v>34.799999999999997</v>
      </c>
      <c r="Q60" s="7">
        <f t="array" ref="Q60">IFERROR(INDEX('Team Ratings'!$O$2:$O$73,MATCH($A60,'Team Ratings'!$A$2:$A$73,0)),"")</f>
        <v>34.5</v>
      </c>
      <c r="R60" s="7">
        <f t="array" ref="R60">IFERROR(INDEX('Team Ratings'!$P$2:$P$73,MATCH($A60,'Team Ratings'!$A$2:$A$73,0)),"")</f>
        <v>34.799999999999997</v>
      </c>
      <c r="S60" s="11">
        <f t="array" ref="S60">IFERROR(INDEX('Team Ratings'!$Q$2:$Q$73,MATCH($A60,'Team Ratings'!$A$2:$A$73,0)),0)</f>
        <v>0</v>
      </c>
      <c r="T60" s="7">
        <f t="array" ref="T60">IFERROR(INDEX('Team Ratings'!$R$2:$R$73,MATCH($A60,'Team Ratings'!$A$2:$A$73,0)),"")</f>
        <v>109.9</v>
      </c>
      <c r="U60" s="7">
        <f t="array" ref="U60">IFERROR(INDEX('Team Ratings'!$S$2:$S$73,MATCH($A60,'Team Ratings'!$A$2:$A$73,0)),"")</f>
        <v>96.1</v>
      </c>
      <c r="V60" s="7">
        <f t="shared" si="13"/>
        <v>13.800000000000011</v>
      </c>
      <c r="W60" s="7">
        <f t="shared" si="14"/>
        <v>11.200000000000012</v>
      </c>
      <c r="X60" s="7">
        <f t="shared" si="15"/>
        <v>5.4</v>
      </c>
      <c r="Y60" s="7">
        <f t="shared" si="16"/>
        <v>2.4</v>
      </c>
      <c r="Z60" s="7">
        <f t="shared" si="17"/>
        <v>2.2000000000000002</v>
      </c>
      <c r="AA60" s="7">
        <f t="shared" si="18"/>
        <v>0</v>
      </c>
      <c r="AB60" s="7">
        <f t="shared" si="19"/>
        <v>3.59</v>
      </c>
      <c r="AC60" s="12">
        <f t="shared" si="20"/>
        <v>-0.3357</v>
      </c>
      <c r="AD60" s="5" t="str">
        <f t="shared" si="21"/>
        <v>Houston|Idaho</v>
      </c>
      <c r="AE60" s="5" t="s">
        <v>135</v>
      </c>
      <c r="AF60" s="5" t="s">
        <v>136</v>
      </c>
      <c r="AG60" s="5" t="s">
        <v>132</v>
      </c>
      <c r="AH60" s="10" t="b">
        <f t="shared" si="22"/>
        <v>1</v>
      </c>
      <c r="AI60" s="5" t="str">
        <f t="array" ref="AI60">IFERROR(INDEX(Matchups!$N$2:$N$64,MATCH($AE60,Matchups!$A$2:$A$64,0)),"")</f>
        <v>Houston</v>
      </c>
      <c r="AJ60" s="7">
        <f t="array" ref="AJ60">IFERROR(INDEX(Matchups!$O$2:$O$64,MATCH($AE60,Matchups!$A$2:$A$64,0)),"")</f>
        <v>60</v>
      </c>
      <c r="AK60" s="5" t="str">
        <f t="array" ref="AK60">IFERROR(INDEX(Matchups!$T$2:$T$64,MATCH($AE60,Matchups!$A$2:$A$64,0)),"")</f>
        <v>ΔComposite=0.83; AdjNET Δ=26.6; 3PT Δ=-2.3; TO Δ=3.8; REB Δ=10</v>
      </c>
      <c r="AL60" s="5" t="str">
        <f t="array" ref="AL60">IFERROR(INDEX(Matchups!$P$2:$P$64,MATCH($AE60,Matchups!$A$2:$A$64,0)),"")</f>
        <v/>
      </c>
      <c r="AM60" s="5" t="str">
        <f t="shared" si="23"/>
        <v>No</v>
      </c>
      <c r="AN60" s="5" t="str">
        <f t="shared" si="24"/>
        <v/>
      </c>
      <c r="AO60" s="5" t="str">
        <f t="shared" si="25"/>
        <v/>
      </c>
    </row>
    <row r="61" spans="1:41" ht="20" customHeight="1" x14ac:dyDescent="0.2">
      <c r="A61" s="5" t="s">
        <v>57</v>
      </c>
      <c r="B61" s="10">
        <f t="array" ref="B61">IFERROR(INDEX('Team Ratings'!$B$2:$B$73,MATCH($A61,'Team Ratings'!$A$2:$A$73,0)),"")</f>
        <v>15</v>
      </c>
      <c r="C61" s="10" t="str">
        <f t="array" ref="C61">IFERROR(INDEX('Team Ratings'!$C$2:$C$73,MATCH($A61,'Team Ratings'!$A$2:$A$73,0)),"")</f>
        <v>West</v>
      </c>
      <c r="D61" s="5" t="s">
        <v>41</v>
      </c>
      <c r="E61" s="10">
        <f t="array" ref="E61">IFERROR(INDEX('Team Ratings'!$B$2:$B$73,MATCH($D61,'Team Ratings'!$A$2:$A$73,0)),"")</f>
        <v>2</v>
      </c>
      <c r="F61" s="6">
        <f t="array" ref="F61">IFERROR(INDEX('Team Ratings'!$D$2:$D$73,MATCH($A61,'Team Ratings'!$A$2:$A$73,0)),"")</f>
        <v>0.43990000000000001</v>
      </c>
      <c r="G61" s="7">
        <f t="array" ref="G61">IFERROR(INDEX('Team Ratings'!$E$2:$E$73,MATCH($A61,'Team Ratings'!$A$2:$A$73,0)),"")</f>
        <v>114.7</v>
      </c>
      <c r="H61" s="7">
        <f t="array" ref="H61">IFERROR(INDEX('Team Ratings'!$F$2:$F$73,MATCH($A61,'Team Ratings'!$A$2:$A$73,0)),"")</f>
        <v>117.1</v>
      </c>
      <c r="I61" s="7">
        <f t="array" ref="I61">IFERROR(INDEX('Team Ratings'!$G$2:$G$73,MATCH($A61,'Team Ratings'!$A$2:$A$73,0)),"")</f>
        <v>-2.4</v>
      </c>
      <c r="J61" s="7">
        <f t="array" ref="J61">IFERROR(INDEX('Team Ratings'!$H$2:$H$73,MATCH($A61,'Team Ratings'!$A$2:$A$73,0)),"")</f>
        <v>56.6</v>
      </c>
      <c r="K61" s="7">
        <f t="array" ref="K61">IFERROR(INDEX('Team Ratings'!$I$2:$I$73,MATCH($A61,'Team Ratings'!$A$2:$A$73,0)),"")</f>
        <v>54</v>
      </c>
      <c r="L61" s="7">
        <f t="array" ref="L61">IFERROR(INDEX('Team Ratings'!$J$2:$J$73,MATCH($A61,'Team Ratings'!$A$2:$A$73,0)),"")</f>
        <v>14.8</v>
      </c>
      <c r="M61" s="7">
        <f t="array" ref="M61">IFERROR(INDEX('Team Ratings'!$K$2:$K$73,MATCH($A61,'Team Ratings'!$A$2:$A$73,0)),"")</f>
        <v>15</v>
      </c>
      <c r="N61" s="7">
        <f t="array" ref="N61">IFERROR(INDEX('Team Ratings'!$L$2:$L$73,MATCH($A61,'Team Ratings'!$A$2:$A$73,0)),"")</f>
        <v>30.4</v>
      </c>
      <c r="O61" s="7">
        <f t="array" ref="O61">IFERROR(INDEX('Team Ratings'!$M$2:$M$73,MATCH($A61,'Team Ratings'!$A$2:$A$73,0)),"")</f>
        <v>33</v>
      </c>
      <c r="P61" s="7">
        <f t="array" ref="P61">IFERROR(INDEX('Team Ratings'!$N$2:$N$73,MATCH($A61,'Team Ratings'!$A$2:$A$73,0)),"")</f>
        <v>36.299999999999997</v>
      </c>
      <c r="Q61" s="7">
        <f t="array" ref="Q61">IFERROR(INDEX('Team Ratings'!$O$2:$O$73,MATCH($A61,'Team Ratings'!$A$2:$A$73,0)),"")</f>
        <v>35.9</v>
      </c>
      <c r="R61" s="7">
        <f t="array" ref="R61">IFERROR(INDEX('Team Ratings'!$P$2:$P$73,MATCH($A61,'Team Ratings'!$A$2:$A$73,0)),"")</f>
        <v>35.799999999999997</v>
      </c>
      <c r="S61" s="11">
        <f t="array" ref="S61">IFERROR(INDEX('Team Ratings'!$Q$2:$Q$73,MATCH($A61,'Team Ratings'!$A$2:$A$73,0)),0)</f>
        <v>0</v>
      </c>
      <c r="T61" s="7">
        <f t="array" ref="T61">IFERROR(INDEX('Team Ratings'!$R$2:$R$73,MATCH($A61,'Team Ratings'!$A$2:$A$73,0)),"")</f>
        <v>114.8</v>
      </c>
      <c r="U61" s="7">
        <f t="array" ref="U61">IFERROR(INDEX('Team Ratings'!$S$2:$S$73,MATCH($A61,'Team Ratings'!$A$2:$A$73,0)),"")</f>
        <v>106.4</v>
      </c>
      <c r="V61" s="7">
        <f t="shared" si="13"/>
        <v>8.3999999999999915</v>
      </c>
      <c r="W61" s="7">
        <f t="shared" si="14"/>
        <v>10.799999999999992</v>
      </c>
      <c r="X61" s="7">
        <f t="shared" si="15"/>
        <v>0.3</v>
      </c>
      <c r="Y61" s="7">
        <f t="shared" si="16"/>
        <v>1.7</v>
      </c>
      <c r="Z61" s="7">
        <f t="shared" si="17"/>
        <v>1.5</v>
      </c>
      <c r="AA61" s="7">
        <f t="shared" si="18"/>
        <v>5.35</v>
      </c>
      <c r="AB61" s="7">
        <f t="shared" si="19"/>
        <v>3.35</v>
      </c>
      <c r="AC61" s="12">
        <f t="shared" si="20"/>
        <v>-0.39379999999999998</v>
      </c>
      <c r="AD61" s="5" t="str">
        <f t="shared" si="21"/>
        <v>Purdue|Queens</v>
      </c>
      <c r="AE61" s="5" t="s">
        <v>137</v>
      </c>
      <c r="AF61" s="5" t="s">
        <v>138</v>
      </c>
      <c r="AG61" s="5" t="s">
        <v>132</v>
      </c>
      <c r="AH61" s="10" t="b">
        <f t="shared" si="22"/>
        <v>1</v>
      </c>
      <c r="AI61" s="5" t="str">
        <f t="array" ref="AI61">IFERROR(INDEX(Matchups!$N$2:$N$64,MATCH($AE61,Matchups!$A$2:$A$64,0)),"")</f>
        <v>Purdue</v>
      </c>
      <c r="AJ61" s="7">
        <f t="array" ref="AJ61">IFERROR(INDEX(Matchups!$O$2:$O$64,MATCH($AE61,Matchups!$A$2:$A$64,0)),"")</f>
        <v>61.2</v>
      </c>
      <c r="AK61" s="5" t="str">
        <f t="array" ref="AK61">IFERROR(INDEX(Matchups!$T$2:$T$64,MATCH($AE61,Matchups!$A$2:$A$64,0)),"")</f>
        <v>ΔComposite=0.94; AdjNET Δ=-33.3; 3PT Δ=-0.4; TO Δ=0.7; REB Δ=0.7</v>
      </c>
      <c r="AL61" s="5" t="str">
        <f t="array" ref="AL61">IFERROR(INDEX(Matchups!$P$2:$P$64,MATCH($AE61,Matchups!$A$2:$A$64,0)),"")</f>
        <v/>
      </c>
      <c r="AM61" s="5" t="str">
        <f t="shared" si="23"/>
        <v>No</v>
      </c>
      <c r="AN61" s="5" t="str">
        <f t="shared" si="24"/>
        <v/>
      </c>
      <c r="AO61" s="5" t="str">
        <f t="shared" si="25"/>
        <v/>
      </c>
    </row>
    <row r="62" spans="1:41" ht="20" customHeight="1" x14ac:dyDescent="0.2">
      <c r="A62" s="5" t="s">
        <v>38</v>
      </c>
      <c r="B62" s="10">
        <f t="array" ref="B62">IFERROR(INDEX('Team Ratings'!$B$2:$B$73,MATCH($A62,'Team Ratings'!$A$2:$A$73,0)),"")</f>
        <v>16</v>
      </c>
      <c r="C62" s="10" t="str">
        <f t="array" ref="C62">IFERROR(INDEX('Team Ratings'!$C$2:$C$73,MATCH($A62,'Team Ratings'!$A$2:$A$73,0)),"")</f>
        <v>East</v>
      </c>
      <c r="D62" s="5" t="s">
        <v>21</v>
      </c>
      <c r="E62" s="10">
        <f t="array" ref="E62">IFERROR(INDEX('Team Ratings'!$B$2:$B$73,MATCH($D62,'Team Ratings'!$A$2:$A$73,0)),"")</f>
        <v>1</v>
      </c>
      <c r="F62" s="6">
        <f t="array" ref="F62">IFERROR(INDEX('Team Ratings'!$D$2:$D$73,MATCH($A62,'Team Ratings'!$A$2:$A$73,0)),"")</f>
        <v>0.45479999999999998</v>
      </c>
      <c r="G62" s="7">
        <f t="array" ref="G62">IFERROR(INDEX('Team Ratings'!$E$2:$E$73,MATCH($A62,'Team Ratings'!$A$2:$A$73,0)),"")</f>
        <v>107.2</v>
      </c>
      <c r="H62" s="7">
        <f t="array" ref="H62">IFERROR(INDEX('Team Ratings'!$F$2:$F$73,MATCH($A62,'Team Ratings'!$A$2:$A$73,0)),"")</f>
        <v>108.9</v>
      </c>
      <c r="I62" s="7">
        <f t="array" ref="I62">IFERROR(INDEX('Team Ratings'!$G$2:$G$73,MATCH($A62,'Team Ratings'!$A$2:$A$73,0)),"")</f>
        <v>-1.7</v>
      </c>
      <c r="J62" s="7">
        <f t="array" ref="J62">IFERROR(INDEX('Team Ratings'!$H$2:$H$73,MATCH($A62,'Team Ratings'!$A$2:$A$73,0)),"")</f>
        <v>50.6</v>
      </c>
      <c r="K62" s="7">
        <f t="array" ref="K62">IFERROR(INDEX('Team Ratings'!$I$2:$I$73,MATCH($A62,'Team Ratings'!$A$2:$A$73,0)),"")</f>
        <v>48.6</v>
      </c>
      <c r="L62" s="7">
        <f t="array" ref="L62">IFERROR(INDEX('Team Ratings'!$J$2:$J$73,MATCH($A62,'Team Ratings'!$A$2:$A$73,0)),"")</f>
        <v>16</v>
      </c>
      <c r="M62" s="7">
        <f t="array" ref="M62">IFERROR(INDEX('Team Ratings'!$K$2:$K$73,MATCH($A62,'Team Ratings'!$A$2:$A$73,0)),"")</f>
        <v>17.100000000000001</v>
      </c>
      <c r="N62" s="7">
        <f t="array" ref="N62">IFERROR(INDEX('Team Ratings'!$L$2:$L$73,MATCH($A62,'Team Ratings'!$A$2:$A$73,0)),"")</f>
        <v>31.9</v>
      </c>
      <c r="O62" s="7">
        <f t="array" ref="O62">IFERROR(INDEX('Team Ratings'!$M$2:$M$73,MATCH($A62,'Team Ratings'!$A$2:$A$73,0)),"")</f>
        <v>29</v>
      </c>
      <c r="P62" s="7">
        <f t="array" ref="P62">IFERROR(INDEX('Team Ratings'!$N$2:$N$73,MATCH($A62,'Team Ratings'!$A$2:$A$73,0)),"")</f>
        <v>34.200000000000003</v>
      </c>
      <c r="Q62" s="7">
        <f t="array" ref="Q62">IFERROR(INDEX('Team Ratings'!$O$2:$O$73,MATCH($A62,'Team Ratings'!$A$2:$A$73,0)),"")</f>
        <v>30.4</v>
      </c>
      <c r="R62" s="7">
        <f t="array" ref="R62">IFERROR(INDEX('Team Ratings'!$P$2:$P$73,MATCH($A62,'Team Ratings'!$A$2:$A$73,0)),"")</f>
        <v>32.799999999999997</v>
      </c>
      <c r="S62" s="11">
        <f t="array" ref="S62">IFERROR(INDEX('Team Ratings'!$Q$2:$Q$73,MATCH($A62,'Team Ratings'!$A$2:$A$73,0)),0)</f>
        <v>0</v>
      </c>
      <c r="T62" s="7">
        <f t="array" ref="T62">IFERROR(INDEX('Team Ratings'!$R$2:$R$73,MATCH($A62,'Team Ratings'!$A$2:$A$73,0)),"")</f>
        <v>106.1</v>
      </c>
      <c r="U62" s="7">
        <f t="array" ref="U62">IFERROR(INDEX('Team Ratings'!$S$2:$S$73,MATCH($A62,'Team Ratings'!$A$2:$A$73,0)),"")</f>
        <v>99.5</v>
      </c>
      <c r="V62" s="7">
        <f t="shared" si="13"/>
        <v>6.5999999999999943</v>
      </c>
      <c r="W62" s="7">
        <f t="shared" si="14"/>
        <v>8.2999999999999936</v>
      </c>
      <c r="X62" s="7">
        <f t="shared" si="15"/>
        <v>0.375</v>
      </c>
      <c r="Y62" s="7">
        <f t="shared" si="16"/>
        <v>0</v>
      </c>
      <c r="Z62" s="7">
        <f t="shared" si="17"/>
        <v>1.4</v>
      </c>
      <c r="AA62" s="7">
        <f t="shared" si="18"/>
        <v>4</v>
      </c>
      <c r="AB62" s="7">
        <f t="shared" si="19"/>
        <v>2.87</v>
      </c>
      <c r="AC62" s="12">
        <f t="shared" si="20"/>
        <v>-0.62080000000000002</v>
      </c>
      <c r="AD62" s="5" t="str">
        <f t="shared" si="21"/>
        <v>Duke|Siena</v>
      </c>
      <c r="AE62" s="5" t="s">
        <v>121</v>
      </c>
      <c r="AF62" s="5" t="s">
        <v>122</v>
      </c>
      <c r="AG62" s="5" t="s">
        <v>123</v>
      </c>
      <c r="AH62" s="10" t="b">
        <f t="shared" si="22"/>
        <v>1</v>
      </c>
      <c r="AI62" s="5" t="str">
        <f t="array" ref="AI62">IFERROR(INDEX(Matchups!$N$2:$N$64,MATCH($AE62,Matchups!$A$2:$A$64,0)),"")</f>
        <v>Duke</v>
      </c>
      <c r="AJ62" s="7">
        <f t="array" ref="AJ62">IFERROR(INDEX(Matchups!$O$2:$O$64,MATCH($AE62,Matchups!$A$2:$A$64,0)),"")</f>
        <v>64.599999999999994</v>
      </c>
      <c r="AK62" s="5" t="str">
        <f t="array" ref="AK62">IFERROR(INDEX(Matchups!$T$2:$T$64,MATCH($AE62,Matchups!$A$2:$A$64,0)),"")</f>
        <v>ΔComposite=1.22; AdjNET Δ=37.2; 3PT Δ=2.3; TO Δ=0.7; REB Δ=2</v>
      </c>
      <c r="AL62" s="5" t="str">
        <f t="array" ref="AL62">IFERROR(INDEX(Matchups!$P$2:$P$64,MATCH($AE62,Matchups!$A$2:$A$64,0)),"")</f>
        <v/>
      </c>
      <c r="AM62" s="5" t="str">
        <f t="shared" si="23"/>
        <v>No</v>
      </c>
      <c r="AN62" s="5" t="str">
        <f t="shared" si="24"/>
        <v/>
      </c>
      <c r="AO62" s="5" t="str">
        <f t="shared" si="25"/>
        <v/>
      </c>
    </row>
    <row r="63" spans="1:41" ht="20" customHeight="1" x14ac:dyDescent="0.2">
      <c r="A63" s="5" t="s">
        <v>96</v>
      </c>
      <c r="B63" s="10">
        <f t="array" ref="B63">IFERROR(INDEX('Team Ratings'!$B$2:$B$73,MATCH($A63,'Team Ratings'!$A$2:$A$73,0)),"")</f>
        <v>16</v>
      </c>
      <c r="C63" s="10" t="str">
        <f t="array" ref="C63">IFERROR(INDEX('Team Ratings'!$C$2:$C$73,MATCH($A63,'Team Ratings'!$A$2:$A$73,0)),"")</f>
        <v>Midwest</v>
      </c>
      <c r="D63" s="5" t="s">
        <v>78</v>
      </c>
      <c r="E63" s="10">
        <f t="array" ref="E63">IFERROR(INDEX('Team Ratings'!$B$2:$B$73,MATCH($D63,'Team Ratings'!$A$2:$A$73,0)),"")</f>
        <v>1</v>
      </c>
      <c r="F63" s="6">
        <f t="array" ref="F63">IFERROR(INDEX('Team Ratings'!$D$2:$D$73,MATCH($A63,'Team Ratings'!$A$2:$A$73,0)),"")</f>
        <v>0.42509999999999998</v>
      </c>
      <c r="G63" s="7">
        <f t="array" ref="G63">IFERROR(INDEX('Team Ratings'!$E$2:$E$73,MATCH($A63,'Team Ratings'!$A$2:$A$73,0)),"")</f>
        <v>103.5</v>
      </c>
      <c r="H63" s="7">
        <f t="array" ref="H63">IFERROR(INDEX('Team Ratings'!$F$2:$F$73,MATCH($A63,'Team Ratings'!$A$2:$A$73,0)),"")</f>
        <v>106.2</v>
      </c>
      <c r="I63" s="7">
        <f t="array" ref="I63">IFERROR(INDEX('Team Ratings'!$G$2:$G$73,MATCH($A63,'Team Ratings'!$A$2:$A$73,0)),"")</f>
        <v>-2.7</v>
      </c>
      <c r="J63" s="7">
        <f t="array" ref="J63">IFERROR(INDEX('Team Ratings'!$H$2:$H$73,MATCH($A63,'Team Ratings'!$A$2:$A$73,0)),"")</f>
        <v>50.6</v>
      </c>
      <c r="K63" s="7">
        <f t="array" ref="K63">IFERROR(INDEX('Team Ratings'!$I$2:$I$73,MATCH($A63,'Team Ratings'!$A$2:$A$73,0)),"")</f>
        <v>47.4</v>
      </c>
      <c r="L63" s="7">
        <f t="array" ref="L63">IFERROR(INDEX('Team Ratings'!$J$2:$J$73,MATCH($A63,'Team Ratings'!$A$2:$A$73,0)),"")</f>
        <v>19.8</v>
      </c>
      <c r="M63" s="7">
        <f t="array" ref="M63">IFERROR(INDEX('Team Ratings'!$K$2:$K$73,MATCH($A63,'Team Ratings'!$A$2:$A$73,0)),"")</f>
        <v>21.3</v>
      </c>
      <c r="N63" s="7">
        <f t="array" ref="N63">IFERROR(INDEX('Team Ratings'!$L$2:$L$73,MATCH($A63,'Team Ratings'!$A$2:$A$73,0)),"")</f>
        <v>36.6</v>
      </c>
      <c r="O63" s="7">
        <f t="array" ref="O63">IFERROR(INDEX('Team Ratings'!$M$2:$M$73,MATCH($A63,'Team Ratings'!$A$2:$A$73,0)),"")</f>
        <v>32</v>
      </c>
      <c r="P63" s="7">
        <f t="array" ref="P63">IFERROR(INDEX('Team Ratings'!$N$2:$N$73,MATCH($A63,'Team Ratings'!$A$2:$A$73,0)),"")</f>
        <v>44.2</v>
      </c>
      <c r="Q63" s="7">
        <f t="array" ref="Q63">IFERROR(INDEX('Team Ratings'!$O$2:$O$73,MATCH($A63,'Team Ratings'!$A$2:$A$73,0)),"")</f>
        <v>34.700000000000003</v>
      </c>
      <c r="R63" s="7">
        <f t="array" ref="R63">IFERROR(INDEX('Team Ratings'!$P$2:$P$73,MATCH($A63,'Team Ratings'!$A$2:$A$73,0)),"")</f>
        <v>30.4</v>
      </c>
      <c r="S63" s="11">
        <f t="array" ref="S63">IFERROR(INDEX('Team Ratings'!$Q$2:$Q$73,MATCH($A63,'Team Ratings'!$A$2:$A$73,0)),0)</f>
        <v>0</v>
      </c>
      <c r="T63" s="7">
        <f t="array" ref="T63">IFERROR(INDEX('Team Ratings'!$R$2:$R$73,MATCH($A63,'Team Ratings'!$A$2:$A$73,0)),"")</f>
        <v>105.6</v>
      </c>
      <c r="U63" s="7">
        <f t="array" ref="U63">IFERROR(INDEX('Team Ratings'!$S$2:$S$73,MATCH($A63,'Team Ratings'!$A$2:$A$73,0)),"")</f>
        <v>111.2</v>
      </c>
      <c r="V63" s="7">
        <f t="shared" si="13"/>
        <v>-5.6000000000000085</v>
      </c>
      <c r="W63" s="7">
        <f t="shared" si="14"/>
        <v>-2.9000000000000083</v>
      </c>
      <c r="X63" s="7">
        <f t="shared" si="15"/>
        <v>-3.4249999999999998</v>
      </c>
      <c r="Y63" s="7">
        <f t="shared" si="16"/>
        <v>4.5</v>
      </c>
      <c r="Z63" s="7">
        <f t="shared" si="17"/>
        <v>4.5999999999999996</v>
      </c>
      <c r="AA63" s="7">
        <f t="shared" si="18"/>
        <v>7.75</v>
      </c>
      <c r="AB63" s="7">
        <f t="shared" si="19"/>
        <v>1.56</v>
      </c>
      <c r="AC63" s="12">
        <f t="shared" si="20"/>
        <v>-0.51580000000000004</v>
      </c>
      <c r="AD63" s="5" t="str">
        <f t="shared" si="21"/>
        <v>Howard|Michigan</v>
      </c>
      <c r="AE63" s="5" t="s">
        <v>124</v>
      </c>
      <c r="AF63" s="5" t="s">
        <v>125</v>
      </c>
      <c r="AG63" s="5" t="s">
        <v>123</v>
      </c>
      <c r="AH63" s="10" t="b">
        <f t="shared" si="22"/>
        <v>1</v>
      </c>
      <c r="AI63" s="5" t="str">
        <f t="array" ref="AI63">IFERROR(INDEX(Matchups!$N$2:$N$64,MATCH($AE63,Matchups!$A$2:$A$64,0)),"")</f>
        <v>Michigan</v>
      </c>
      <c r="AJ63" s="7">
        <f t="array" ref="AJ63">IFERROR(INDEX(Matchups!$O$2:$O$64,MATCH($AE63,Matchups!$A$2:$A$64,0)),"")</f>
        <v>58</v>
      </c>
      <c r="AK63" s="5" t="str">
        <f t="array" ref="AK63">IFERROR(INDEX(Matchups!$T$2:$T$64,MATCH($AE63,Matchups!$A$2:$A$64,0)),"")</f>
        <v>ΔComposite=0.67; AdjNET Δ=-37.9; 3PT Δ=-1.1; TO Δ=8.9; REB Δ=5.5</v>
      </c>
      <c r="AL63" s="5" t="str">
        <f t="array" ref="AL63">IFERROR(INDEX(Matchups!$P$2:$P$64,MATCH($AE63,Matchups!$A$2:$A$64,0)),"")</f>
        <v/>
      </c>
      <c r="AM63" s="5" t="str">
        <f t="shared" si="23"/>
        <v>No</v>
      </c>
      <c r="AN63" s="5" t="str">
        <f t="shared" si="24"/>
        <v/>
      </c>
      <c r="AO63" s="5" t="str">
        <f t="shared" si="25"/>
        <v/>
      </c>
    </row>
    <row r="64" spans="1:41" ht="20" customHeight="1" x14ac:dyDescent="0.2">
      <c r="A64" s="5" t="s">
        <v>77</v>
      </c>
      <c r="B64" s="10">
        <f t="array" ref="B64">IFERROR(INDEX('Team Ratings'!$B$2:$B$73,MATCH($A64,'Team Ratings'!$A$2:$A$73,0)),"")</f>
        <v>16</v>
      </c>
      <c r="C64" s="10" t="str">
        <f t="array" ref="C64">IFERROR(INDEX('Team Ratings'!$C$2:$C$73,MATCH($A64,'Team Ratings'!$A$2:$A$73,0)),"")</f>
        <v>South</v>
      </c>
      <c r="D64" s="5" t="s">
        <v>59</v>
      </c>
      <c r="E64" s="10">
        <f t="array" ref="E64">IFERROR(INDEX('Team Ratings'!$B$2:$B$73,MATCH($D64,'Team Ratings'!$A$2:$A$73,0)),"")</f>
        <v>1</v>
      </c>
      <c r="F64" s="6">
        <f t="array" ref="F64">IFERROR(INDEX('Team Ratings'!$D$2:$D$73,MATCH($A64,'Team Ratings'!$A$2:$A$73,0)),"")</f>
        <v>0.25509999999999999</v>
      </c>
      <c r="G64" s="7">
        <f t="array" ref="G64">IFERROR(INDEX('Team Ratings'!$E$2:$E$73,MATCH($A64,'Team Ratings'!$A$2:$A$73,0)),"")</f>
        <v>101.5</v>
      </c>
      <c r="H64" s="7">
        <f t="array" ref="H64">IFERROR(INDEX('Team Ratings'!$F$2:$F$73,MATCH($A64,'Team Ratings'!$A$2:$A$73,0)),"")</f>
        <v>111.4</v>
      </c>
      <c r="I64" s="7">
        <f t="array" ref="I64">IFERROR(INDEX('Team Ratings'!$G$2:$G$73,MATCH($A64,'Team Ratings'!$A$2:$A$73,0)),"")</f>
        <v>-9.9</v>
      </c>
      <c r="J64" s="7">
        <f t="array" ref="J64">IFERROR(INDEX('Team Ratings'!$H$2:$H$73,MATCH($A64,'Team Ratings'!$A$2:$A$73,0)),"")</f>
        <v>47.9</v>
      </c>
      <c r="K64" s="7">
        <f t="array" ref="K64">IFERROR(INDEX('Team Ratings'!$I$2:$I$73,MATCH($A64,'Team Ratings'!$A$2:$A$73,0)),"")</f>
        <v>50.4</v>
      </c>
      <c r="L64" s="7">
        <f t="array" ref="L64">IFERROR(INDEX('Team Ratings'!$J$2:$J$73,MATCH($A64,'Team Ratings'!$A$2:$A$73,0)),"")</f>
        <v>16</v>
      </c>
      <c r="M64" s="7">
        <f t="array" ref="M64">IFERROR(INDEX('Team Ratings'!$K$2:$K$73,MATCH($A64,'Team Ratings'!$A$2:$A$73,0)),"")</f>
        <v>19.100000000000001</v>
      </c>
      <c r="N64" s="7">
        <f t="array" ref="N64">IFERROR(INDEX('Team Ratings'!$L$2:$L$73,MATCH($A64,'Team Ratings'!$A$2:$A$73,0)),"")</f>
        <v>27.1</v>
      </c>
      <c r="O64" s="7">
        <f t="array" ref="O64">IFERROR(INDEX('Team Ratings'!$M$2:$M$73,MATCH($A64,'Team Ratings'!$A$2:$A$73,0)),"")</f>
        <v>34.799999999999997</v>
      </c>
      <c r="P64" s="7">
        <f t="array" ref="P64">IFERROR(INDEX('Team Ratings'!$N$2:$N$73,MATCH($A64,'Team Ratings'!$A$2:$A$73,0)),"")</f>
        <v>42.8</v>
      </c>
      <c r="Q64" s="7">
        <f t="array" ref="Q64">IFERROR(INDEX('Team Ratings'!$O$2:$O$73,MATCH($A64,'Team Ratings'!$A$2:$A$73,0)),"")</f>
        <v>33.200000000000003</v>
      </c>
      <c r="R64" s="7">
        <f t="array" ref="R64">IFERROR(INDEX('Team Ratings'!$P$2:$P$73,MATCH($A64,'Team Ratings'!$A$2:$A$73,0)),"")</f>
        <v>35</v>
      </c>
      <c r="S64" s="11">
        <f t="array" ref="S64">IFERROR(INDEX('Team Ratings'!$Q$2:$Q$73,MATCH($A64,'Team Ratings'!$A$2:$A$73,0)),0)</f>
        <v>0</v>
      </c>
      <c r="T64" s="7">
        <f t="array" ref="T64">IFERROR(INDEX('Team Ratings'!$R$2:$R$73,MATCH($A64,'Team Ratings'!$A$2:$A$73,0)),"")</f>
        <v>102.7</v>
      </c>
      <c r="U64" s="7">
        <f t="array" ref="U64">IFERROR(INDEX('Team Ratings'!$S$2:$S$73,MATCH($A64,'Team Ratings'!$A$2:$A$73,0)),"")</f>
        <v>98.2</v>
      </c>
      <c r="V64" s="7">
        <f t="shared" si="13"/>
        <v>4.5</v>
      </c>
      <c r="W64" s="7">
        <f t="shared" si="14"/>
        <v>14.4</v>
      </c>
      <c r="X64" s="7">
        <f t="shared" si="15"/>
        <v>-6.3</v>
      </c>
      <c r="Y64" s="7">
        <f t="shared" si="16"/>
        <v>0.8</v>
      </c>
      <c r="Z64" s="7">
        <f t="shared" si="17"/>
        <v>2.6</v>
      </c>
      <c r="AA64" s="7">
        <f t="shared" si="18"/>
        <v>1.95</v>
      </c>
      <c r="AB64" s="7">
        <f t="shared" si="19"/>
        <v>3.01</v>
      </c>
      <c r="AC64" s="12">
        <f t="shared" si="20"/>
        <v>-0.66459999999999997</v>
      </c>
      <c r="AD64" s="5" t="str">
        <f t="shared" si="21"/>
        <v>Florida|Prairie View A&amp;M</v>
      </c>
      <c r="AE64" s="5" t="s">
        <v>126</v>
      </c>
      <c r="AF64" s="5" t="s">
        <v>127</v>
      </c>
      <c r="AG64" s="5" t="s">
        <v>123</v>
      </c>
      <c r="AH64" s="10" t="b">
        <f t="shared" si="22"/>
        <v>1</v>
      </c>
      <c r="AI64" s="5" t="str">
        <f t="array" ref="AI64">IFERROR(INDEX(Matchups!$N$2:$N$64,MATCH($AE64,Matchups!$A$2:$A$64,0)),"")</f>
        <v>Florida</v>
      </c>
      <c r="AJ64" s="7">
        <f t="array" ref="AJ64">IFERROR(INDEX(Matchups!$O$2:$O$64,MATCH($AE64,Matchups!$A$2:$A$64,0)),"")</f>
        <v>58.3</v>
      </c>
      <c r="AK64" s="5" t="str">
        <f t="array" ref="AK64">IFERROR(INDEX(Matchups!$T$2:$T$64,MATCH($AE64,Matchups!$A$2:$A$64,0)),"")</f>
        <v>ΔComposite=0.69; AdjNET Δ=-38.7; 3PT Δ=5; TO Δ=3.2; REB Δ=-6.1</v>
      </c>
      <c r="AL64" s="5" t="str">
        <f t="array" ref="AL64">IFERROR(INDEX(Matchups!$P$2:$P$64,MATCH($AE64,Matchups!$A$2:$A$64,0)),"")</f>
        <v/>
      </c>
      <c r="AM64" s="5" t="str">
        <f t="shared" si="23"/>
        <v>No</v>
      </c>
      <c r="AN64" s="5" t="str">
        <f t="shared" si="24"/>
        <v/>
      </c>
      <c r="AO64" s="5" t="str">
        <f t="shared" si="25"/>
        <v/>
      </c>
    </row>
    <row r="65" spans="1:41" ht="20" customHeight="1" x14ac:dyDescent="0.2">
      <c r="A65" s="5" t="s">
        <v>58</v>
      </c>
      <c r="B65" s="10">
        <f t="array" ref="B65">IFERROR(INDEX('Team Ratings'!$B$2:$B$73,MATCH($A65,'Team Ratings'!$A$2:$A$73,0)),"")</f>
        <v>16</v>
      </c>
      <c r="C65" s="10" t="str">
        <f t="array" ref="C65">IFERROR(INDEX('Team Ratings'!$C$2:$C$73,MATCH($A65,'Team Ratings'!$A$2:$A$73,0)),"")</f>
        <v>West</v>
      </c>
      <c r="D65" s="5" t="s">
        <v>39</v>
      </c>
      <c r="E65" s="10">
        <f t="array" ref="E65">IFERROR(INDEX('Team Ratings'!$B$2:$B$73,MATCH($D65,'Team Ratings'!$A$2:$A$73,0)),"")</f>
        <v>1</v>
      </c>
      <c r="F65" s="6">
        <f t="array" ref="F65">IFERROR(INDEX('Team Ratings'!$D$2:$D$73,MATCH($A65,'Team Ratings'!$A$2:$A$73,0)),"")</f>
        <v>0.34039999999999998</v>
      </c>
      <c r="G65" s="7">
        <f t="array" ref="G65">IFERROR(INDEX('Team Ratings'!$E$2:$E$73,MATCH($A65,'Team Ratings'!$A$2:$A$73,0)),"")</f>
        <v>103.6</v>
      </c>
      <c r="H65" s="7">
        <f t="array" ref="H65">IFERROR(INDEX('Team Ratings'!$F$2:$F$73,MATCH($A65,'Team Ratings'!$A$2:$A$73,0)),"")</f>
        <v>109.8</v>
      </c>
      <c r="I65" s="7">
        <f t="array" ref="I65">IFERROR(INDEX('Team Ratings'!$G$2:$G$73,MATCH($A65,'Team Ratings'!$A$2:$A$73,0)),"")</f>
        <v>-6.2</v>
      </c>
      <c r="J65" s="7">
        <f t="array" ref="J65">IFERROR(INDEX('Team Ratings'!$H$2:$H$73,MATCH($A65,'Team Ratings'!$A$2:$A$73,0)),"")</f>
        <v>53.3</v>
      </c>
      <c r="K65" s="7">
        <f t="array" ref="K65">IFERROR(INDEX('Team Ratings'!$I$2:$I$73,MATCH($A65,'Team Ratings'!$A$2:$A$73,0)),"")</f>
        <v>49.8</v>
      </c>
      <c r="L65" s="7">
        <f t="array" ref="L65">IFERROR(INDEX('Team Ratings'!$J$2:$J$73,MATCH($A65,'Team Ratings'!$A$2:$A$73,0)),"")</f>
        <v>19</v>
      </c>
      <c r="M65" s="7">
        <f t="array" ref="M65">IFERROR(INDEX('Team Ratings'!$K$2:$K$73,MATCH($A65,'Team Ratings'!$A$2:$A$73,0)),"")</f>
        <v>18.899999999999999</v>
      </c>
      <c r="N65" s="7">
        <f t="array" ref="N65">IFERROR(INDEX('Team Ratings'!$L$2:$L$73,MATCH($A65,'Team Ratings'!$A$2:$A$73,0)),"")</f>
        <v>34.299999999999997</v>
      </c>
      <c r="O65" s="7">
        <f t="array" ref="O65">IFERROR(INDEX('Team Ratings'!$M$2:$M$73,MATCH($A65,'Team Ratings'!$A$2:$A$73,0)),"")</f>
        <v>32.6</v>
      </c>
      <c r="P65" s="7">
        <f t="array" ref="P65">IFERROR(INDEX('Team Ratings'!$N$2:$N$73,MATCH($A65,'Team Ratings'!$A$2:$A$73,0)),"")</f>
        <v>34.700000000000003</v>
      </c>
      <c r="Q65" s="7">
        <f t="array" ref="Q65">IFERROR(INDEX('Team Ratings'!$O$2:$O$73,MATCH($A65,'Team Ratings'!$A$2:$A$73,0)),"")</f>
        <v>36.1</v>
      </c>
      <c r="R65" s="7">
        <f t="array" ref="R65">IFERROR(INDEX('Team Ratings'!$P$2:$P$73,MATCH($A65,'Team Ratings'!$A$2:$A$73,0)),"")</f>
        <v>31.9</v>
      </c>
      <c r="S65" s="11">
        <f t="array" ref="S65">IFERROR(INDEX('Team Ratings'!$Q$2:$Q$73,MATCH($A65,'Team Ratings'!$A$2:$A$73,0)),0)</f>
        <v>0</v>
      </c>
      <c r="T65" s="7">
        <f t="array" ref="T65">IFERROR(INDEX('Team Ratings'!$R$2:$R$73,MATCH($A65,'Team Ratings'!$A$2:$A$73,0)),"")</f>
        <v>107.6</v>
      </c>
      <c r="U65" s="7">
        <f t="array" ref="U65">IFERROR(INDEX('Team Ratings'!$S$2:$S$73,MATCH($A65,'Team Ratings'!$A$2:$A$73,0)),"")</f>
        <v>116.1</v>
      </c>
      <c r="V65" s="7">
        <f t="shared" si="13"/>
        <v>-8.5</v>
      </c>
      <c r="W65" s="7">
        <f t="shared" si="14"/>
        <v>-2.2999999999999998</v>
      </c>
      <c r="X65" s="7">
        <f t="shared" si="15"/>
        <v>-6.7750000000000004</v>
      </c>
      <c r="Y65" s="7">
        <f t="shared" si="16"/>
        <v>4.7</v>
      </c>
      <c r="Z65" s="7">
        <f t="shared" si="17"/>
        <v>3.8</v>
      </c>
      <c r="AA65" s="7">
        <f t="shared" si="18"/>
        <v>5.95</v>
      </c>
      <c r="AB65" s="7">
        <f t="shared" si="19"/>
        <v>1.1499999999999999</v>
      </c>
      <c r="AC65" s="12">
        <f t="shared" si="20"/>
        <v>-0.69520000000000004</v>
      </c>
      <c r="AD65" s="5" t="str">
        <f t="shared" si="21"/>
        <v>Arizona|LIU</v>
      </c>
      <c r="AE65" s="5" t="s">
        <v>128</v>
      </c>
      <c r="AF65" s="5" t="s">
        <v>129</v>
      </c>
      <c r="AG65" s="5" t="s">
        <v>123</v>
      </c>
      <c r="AH65" s="10" t="b">
        <f t="shared" si="22"/>
        <v>1</v>
      </c>
      <c r="AI65" s="5" t="str">
        <f t="array" ref="AI65">IFERROR(INDEX(Matchups!$N$2:$N$64,MATCH($AE65,Matchups!$A$2:$A$64,0)),"")</f>
        <v>Arizona</v>
      </c>
      <c r="AJ65" s="7">
        <f t="array" ref="AJ65">IFERROR(INDEX(Matchups!$O$2:$O$64,MATCH($AE65,Matchups!$A$2:$A$64,0)),"")</f>
        <v>67.400000000000006</v>
      </c>
      <c r="AK65" s="5" t="str">
        <f t="array" ref="AK65">IFERROR(INDEX(Matchups!$T$2:$T$64,MATCH($AE65,Matchups!$A$2:$A$64,0)),"")</f>
        <v>ΔComposite=1.45; AdjNET Δ=43.3; 3PT Δ=-0.6; TO Δ=-6.1; REB Δ=-1.9</v>
      </c>
      <c r="AL65" s="5" t="str">
        <f t="array" ref="AL65">IFERROR(INDEX(Matchups!$P$2:$P$64,MATCH($AE65,Matchups!$A$2:$A$64,0)),"")</f>
        <v/>
      </c>
      <c r="AM65" s="5" t="str">
        <f t="shared" si="23"/>
        <v>No</v>
      </c>
      <c r="AN65" s="5" t="str">
        <f t="shared" si="24"/>
        <v/>
      </c>
      <c r="AO65" s="5" t="str">
        <f t="shared" si="25"/>
        <v/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4"/>
  <sheetViews>
    <sheetView topLeftCell="A52" zoomScaleNormal="100" workbookViewId="0">
      <selection activeCell="AH4" sqref="AH4"/>
    </sheetView>
  </sheetViews>
  <sheetFormatPr baseColWidth="10" defaultColWidth="41" defaultRowHeight="20" customHeight="1" x14ac:dyDescent="0.2"/>
  <sheetData>
    <row r="1" spans="1:38" ht="20" customHeight="1" x14ac:dyDescent="0.2">
      <c r="A1" s="4" t="s">
        <v>110</v>
      </c>
      <c r="B1" s="4" t="s">
        <v>171</v>
      </c>
      <c r="C1" s="13" t="s">
        <v>172</v>
      </c>
      <c r="D1" s="4" t="s">
        <v>173</v>
      </c>
      <c r="E1" s="4" t="s">
        <v>174</v>
      </c>
      <c r="F1" s="4" t="s">
        <v>175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  <c r="N1" s="4" t="s">
        <v>114</v>
      </c>
      <c r="O1" s="4" t="s">
        <v>115</v>
      </c>
      <c r="P1" s="4" t="s">
        <v>117</v>
      </c>
      <c r="Q1" s="4" t="s">
        <v>111</v>
      </c>
      <c r="R1" s="4" t="s">
        <v>112</v>
      </c>
      <c r="S1" s="4" t="s">
        <v>113</v>
      </c>
      <c r="T1" s="4" t="s">
        <v>116</v>
      </c>
      <c r="U1" s="4" t="s">
        <v>183</v>
      </c>
      <c r="V1" s="4" t="s">
        <v>184</v>
      </c>
      <c r="W1" s="4" t="s">
        <v>185</v>
      </c>
      <c r="X1" s="4" t="s">
        <v>186</v>
      </c>
      <c r="Y1" s="4" t="s">
        <v>187</v>
      </c>
      <c r="Z1" s="4" t="s">
        <v>188</v>
      </c>
      <c r="AA1" s="4" t="s">
        <v>189</v>
      </c>
      <c r="AB1" s="4" t="s">
        <v>190</v>
      </c>
      <c r="AC1" s="4" t="s">
        <v>191</v>
      </c>
      <c r="AD1" s="4" t="s">
        <v>192</v>
      </c>
      <c r="AE1" s="4" t="s">
        <v>193</v>
      </c>
      <c r="AF1" s="4" t="s">
        <v>194</v>
      </c>
      <c r="AG1" s="4" t="s">
        <v>195</v>
      </c>
      <c r="AH1" s="4" t="s">
        <v>196</v>
      </c>
      <c r="AI1" s="4" t="s">
        <v>197</v>
      </c>
      <c r="AJ1" s="4" t="s">
        <v>198</v>
      </c>
      <c r="AK1" s="4" t="s">
        <v>199</v>
      </c>
      <c r="AL1" s="13" t="s">
        <v>200</v>
      </c>
    </row>
    <row r="2" spans="1:38" ht="20" customHeight="1" x14ac:dyDescent="0.2">
      <c r="A2" s="14" t="s">
        <v>121</v>
      </c>
      <c r="B2" s="14" t="s">
        <v>201</v>
      </c>
      <c r="C2" s="5">
        <f>_xlfn.SWITCH(B2,
 "Round 1",1,
 "Round 2",2,
 "Sweet 16",3,
 "Elite 8",4,
 "Final Four",5,
 "Championship",6
)*100
+
COUNTIF($B$2:B2,B2)</f>
        <v>101</v>
      </c>
      <c r="D2" s="5" t="s">
        <v>22</v>
      </c>
      <c r="E2" s="5"/>
      <c r="F2" s="5"/>
      <c r="G2" s="5" t="s">
        <v>21</v>
      </c>
      <c r="H2" s="5" t="s">
        <v>38</v>
      </c>
      <c r="I2" s="15">
        <f t="array" ref="I2">IFERROR(INDEX('Team Ratings'!$B$2:$B$73,MATCH($G2,'Team Ratings'!$A$2:$A$73,0)),"")</f>
        <v>1</v>
      </c>
      <c r="J2" s="15">
        <f t="array" ref="J2">IFERROR(INDEX('Team Ratings'!$B$2:$B$73,MATCH($H2,'Team Ratings'!$A$2:$A$73,0)),"")</f>
        <v>16</v>
      </c>
      <c r="K2" s="12">
        <f>IF($S2=FALSE(),"",ROUND((0.35*IFERROR((U2-AVERAGE('Team Metrics'!$X$2:$X$65))/_xlfn.STDEV.P('Team Metrics'!$X$2:$X$65),0)) + (0.2*IFERROR((V2-AVERAGE('Team Metrics'!$W$2:$W$65))/_xlfn.STDEV.P('Team Metrics'!$W$2:$W$65),0)) + (0.15*IFERROR((W2-AVERAGE('Team Metrics'!$Y$2:$Y$65))/_xlfn.STDEV.P('Team Metrics'!$Y$2:$Y$65),0)) + (0.1*IFERROR((X2-AVERAGE('Team Metrics'!$Z$2:$Z$65))/_xlfn.STDEV.P('Team Metrics'!$Z$2:$Z$65),0)) + (0.1*IFERROR((Y2-AVERAGE('Team Metrics'!$AA$2:$AA$65))/_xlfn.STDEV.P('Team Metrics'!$AA$2:$AA$65),0)) + (0.05*IFERROR((Z2-AVERAGE('Team Metrics'!$AB$2:$AB$65))/_xlfn.STDEV.P('Team Metrics'!$AB$2:$AB$65),0)) + (0.05*IFERROR((AA2-AVERAGE('Team Metrics'!$S$2:$S$65))/IF(_xlfn.STDEV.P('Team Metrics'!$S$2:$S$65)=0,1,_xlfn.STDEV.P('Team Metrics'!$S$2:$S$65)),0)),4))</f>
        <v>0.59970000000000001</v>
      </c>
      <c r="L2" s="12">
        <f>IF($S2=FALSE(),"",ROUND((0.35*IFERROR((AB2-AVERAGE('Team Metrics'!$X$2:$X$65))/_xlfn.STDEV.P('Team Metrics'!$X$2:$X$65),0)) + (0.2*IFERROR((AC2-AVERAGE('Team Metrics'!$W$2:$W$65))/_xlfn.STDEV.P('Team Metrics'!$W$2:$W$65),0)) + (0.15*IFERROR((AD2-AVERAGE('Team Metrics'!$Y$2:$Y$65))/_xlfn.STDEV.P('Team Metrics'!$Y$2:$Y$65),0)) + (0.1*IFERROR((AE2-AVERAGE('Team Metrics'!$Z$2:$Z$65))/_xlfn.STDEV.P('Team Metrics'!$Z$2:$Z$65),0)) + (0.1*IFERROR((AF2-AVERAGE('Team Metrics'!$AA$2:$AA$65))/_xlfn.STDEV.P('Team Metrics'!$AA$2:$AA$65),0)) + (0.05*IFERROR((AG2-AVERAGE('Team Metrics'!$AB$2:$AB$65))/_xlfn.STDEV.P('Team Metrics'!$AB$2:$AB$65),0)) + (0.05*IFERROR((AH2-AVERAGE('Team Metrics'!$S$2:$S$65))/IF(_xlfn.STDEV.P('Team Metrics'!$S$2:$S$65)=0,1,_xlfn.STDEV.P('Team Metrics'!$S$2:$S$65)),0)),4))</f>
        <v>-0.62080000000000002</v>
      </c>
      <c r="M2" s="12">
        <f t="shared" ref="M2:M33" si="0">IF($S2=FALSE(),"",ROUND(K2-L2,4))</f>
        <v>1.2204999999999999</v>
      </c>
      <c r="N2" s="10" t="str">
        <f t="shared" ref="N2:N33" si="1">IF($S2=FALSE(),"",IF(M2&gt;=0,G2,H2))</f>
        <v>Duke</v>
      </c>
      <c r="O2" s="7">
        <f t="shared" ref="O2:O33" si="2">IF($S2=FALSE(),"",ROUND(MIN(95,50+(ABS(M2)*12)),1))</f>
        <v>64.599999999999994</v>
      </c>
      <c r="P2" s="5" t="str">
        <f t="shared" ref="P2:P33" si="3">IF($S2=FALSE(),"",IF(N2="", "", IF(AND(N2=G2,I2&gt;J2),"UPSET",IF(AND(N2=H2,J2&gt;I2),"UPSET",""))))</f>
        <v/>
      </c>
      <c r="Q2" s="5" t="s">
        <v>122</v>
      </c>
      <c r="R2" s="5" t="s">
        <v>123</v>
      </c>
      <c r="S2" s="10" t="b">
        <f t="shared" ref="S2:S33" si="4">AND($G2&lt;&gt;"",$H2&lt;&gt;"")</f>
        <v>1</v>
      </c>
      <c r="T2" s="5" t="str">
        <f t="shared" ref="T2:T33" si="5">IF($S2=FALSE(),"","ΔComposite="&amp;ROUND(ABS(M2),2)&amp;"; AdjNET Δ="&amp;ROUND(U2-AB2,1)&amp;"; 3PT Δ="&amp;ROUND(W2-AD2,1)&amp;"; TO Δ="&amp;ROUND(X2-AE2,1)&amp;"; REB Δ="&amp;ROUND(Y2-AF2,1))</f>
        <v>ΔComposite=1.22; AdjNET Δ=37.2; 3PT Δ=2.3; TO Δ=0.7; REB Δ=2</v>
      </c>
      <c r="U2" s="16">
        <f t="array" ref="U2">IF($S2=FALSE(),"",ROUND((0.75*INDEX('Team Ratings'!$G$2:$G$73,MATCH($G2,'Team Ratings'!$A$2:$A$73,0)))+(0.25*INDEX('Team Ratings'!$T$2:$T$73,MATCH($G2,'Team Ratings'!$A$2:$A$73,0))),3))</f>
        <v>37.575000000000003</v>
      </c>
      <c r="V2" s="16">
        <f t="array" ref="V2">IF($S2=FALSE(),"",ROUND(INDEX('Team Ratings'!$T$2:$T$73,MATCH($G2,'Team Ratings'!$A$2:$A$73,0))-INDEX('Team Ratings'!$G$2:$G$73,MATCH($G2,'Team Ratings'!$A$2:$A$73,0)),3))</f>
        <v>0.7</v>
      </c>
      <c r="W2" s="16">
        <f t="array" ref="W2">IF($S2=FALSE(),"",ROUND(INDEX('Team Ratings'!$O$2:$O$73,MATCH($G2,'Team Ratings'!$A$2:$A$73,0))-INDEX('Team Ratings'!$P$2:$P$73,MATCH($H2,'Team Ratings'!$A$2:$A$73,0)),3))</f>
        <v>2.2999999999999998</v>
      </c>
      <c r="X2" s="16">
        <f t="array" ref="X2">IF($S2=FALSE(),"",ROUND(INDEX('Team Ratings'!$K$2:$K$73,MATCH($G2,'Team Ratings'!$A$2:$A$73,0))-INDEX('Team Ratings'!$J$2:$J$73,MATCH($H2,'Team Ratings'!$A$2:$A$73,0)),3))</f>
        <v>2.1</v>
      </c>
      <c r="Y2" s="16">
        <f t="array" ref="Y2">IF($S2=FALSE(),"",ROUND(MAX(0,MIN(10,5+((INDEX('Team Ratings'!$L$2:$L$73,MATCH($G2,'Team Ratings'!$A$2:$A$73,0))-INDEX('Team Ratings'!$M$2:$M$73,MATCH($H2,'Team Ratings'!$A$2:$A$73,0)))+(INDEX('Team Ratings'!$M$2:$M$73,MATCH($G2,'Team Ratings'!$A$2:$A$73,0))-INDEX('Team Ratings'!$L$2:$L$73,MATCH($H2,'Team Ratings'!$A$2:$A$73,0))))/2)),3))</f>
        <v>6</v>
      </c>
      <c r="Z2" s="16">
        <f t="array" ref="Z2">IF($S2=FALSE(),"",ROUND((1/I2)*4 + (INDEX('Team Ratings'!$T$2:$T$73,MATCH($G2,'Team Ratings'!$A$2:$A$73,0))/MAX('Team Ratings'!$T$2:$T$73))*4 + (1-(INDEX('Team Ratings'!$J$2:$J$73,MATCH($G2,'Team Ratings'!$A$2:$A$73,0))/MAX('Team Ratings'!$J$2:$J$73)))*2 + (INDEX('Team Ratings'!$N$2:$N$73,MATCH($G2,'Team Ratings'!$A$2:$A$73,0))/MAX('Team Ratings'!$N$2:$N$73)) + (INDEX('Team Ratings'!$M$2:$M$73,MATCH($G2,'Team Ratings'!$A$2:$A$73,0))/MAX('Team Ratings'!$M$2:$M$73)),2))</f>
        <v>9.7899999999999991</v>
      </c>
      <c r="AA2" s="16">
        <f t="array" ref="AA2">IF($S2=FALSE(),"",IFERROR(INDEX('Team Ratings'!$Q$2:$Q$73,MATCH($G2,'Team Ratings'!$A$2:$A$73,0)),0))</f>
        <v>-2.5</v>
      </c>
      <c r="AB2" s="16">
        <f t="array" ref="AB2">IF($S2=FALSE(),"",ROUND((0.75*INDEX('Team Ratings'!$G$2:$G$73,MATCH($H2,'Team Ratings'!$A$2:$A$73,0)))+(0.25*INDEX('Team Ratings'!$T$2:$T$73,MATCH($H2,'Team Ratings'!$A$2:$A$73,0))),3))</f>
        <v>0.375</v>
      </c>
      <c r="AC2" s="16">
        <f t="array" ref="AC2">IF($S2=FALSE(),"",ROUND(INDEX('Team Ratings'!$T$2:$T$73,MATCH($H2,'Team Ratings'!$A$2:$A$73,0))-INDEX('Team Ratings'!$G$2:$G$73,MATCH($H2,'Team Ratings'!$A$2:$A$73,0)),3))</f>
        <v>8.3000000000000007</v>
      </c>
      <c r="AD2" s="16">
        <f t="array" ref="AD2">IF($S2=FALSE(),"",ROUND(INDEX('Team Ratings'!$O$2:$O$73,MATCH($H2,'Team Ratings'!$A$2:$A$73,0))-INDEX('Team Ratings'!$P$2:$P$73,MATCH($G2,'Team Ratings'!$A$2:$A$73,0)),3))</f>
        <v>0</v>
      </c>
      <c r="AE2" s="16">
        <f t="array" ref="AE2">IF($S2=FALSE(),"",ROUND(INDEX('Team Ratings'!$K$2:$K$73,MATCH($H2,'Team Ratings'!$A$2:$A$73,0))-INDEX('Team Ratings'!$J$2:$J$73,MATCH($G2,'Team Ratings'!$A$2:$A$73,0)),3))</f>
        <v>1.4</v>
      </c>
      <c r="AF2" s="16">
        <f t="array" ref="AF2">IF($S2=FALSE(),"",ROUND(MAX(0,MIN(10,5+((INDEX('Team Ratings'!$L$2:$L$73,MATCH($H2,'Team Ratings'!$A$2:$A$73,0))-INDEX('Team Ratings'!$M$2:$M$73,MATCH($G2,'Team Ratings'!$A$2:$A$73,0)))+(INDEX('Team Ratings'!$M$2:$M$73,MATCH($H2,'Team Ratings'!$A$2:$A$73,0))-INDEX('Team Ratings'!$L$2:$L$73,MATCH($G2,'Team Ratings'!$A$2:$A$73,0))))/2)),3))</f>
        <v>4</v>
      </c>
      <c r="AG2" s="16">
        <f t="array" ref="AG2">IF($S2=FALSE(),"",ROUND((1/J2)*4 + (INDEX('Team Ratings'!$T$2:$T$73,MATCH($H2,'Team Ratings'!$A$2:$A$73,0))/MAX('Team Ratings'!$T$2:$T$73))*4 + (1-(INDEX('Team Ratings'!$J$2:$J$73,MATCH($H2,'Team Ratings'!$A$2:$A$73,0))/MAX('Team Ratings'!$J$2:$J$73)))*2 + (INDEX('Team Ratings'!$N$2:$N$73,MATCH($H2,'Team Ratings'!$A$2:$A$73,0))/MAX('Team Ratings'!$N$2:$N$73)) + (INDEX('Team Ratings'!$M$2:$M$73,MATCH($H2,'Team Ratings'!$A$2:$A$73,0))/MAX('Team Ratings'!$M$2:$M$73)),2))</f>
        <v>2.87</v>
      </c>
      <c r="AH2" s="16">
        <f t="array" ref="AH2">IF($S2=FALSE(),"",IFERROR(INDEX('Team Ratings'!$Q$2:$Q$73,MATCH($H2,'Team Ratings'!$A$2:$A$73,0)),0))</f>
        <v>0</v>
      </c>
      <c r="AI2" s="10" t="b">
        <f t="shared" ref="AI2:AI33" si="6">AND(G2&lt;&gt;"",H2&lt;&gt;"",K2&lt;&gt;"",L2&lt;&gt;"")</f>
        <v>1</v>
      </c>
      <c r="AJ2" s="10"/>
      <c r="AK2" s="10" t="str">
        <f t="shared" ref="AK2:AK33" si="7">IF(AJ2&lt;&gt;"",AJ2,N2)</f>
        <v>Duke</v>
      </c>
      <c r="AL2" s="10">
        <v>9</v>
      </c>
    </row>
    <row r="3" spans="1:38" ht="20" customHeight="1" x14ac:dyDescent="0.2">
      <c r="A3" s="14" t="s">
        <v>167</v>
      </c>
      <c r="B3" s="14" t="s">
        <v>201</v>
      </c>
      <c r="C3" s="5">
        <f>_xlfn.SWITCH(B3,
 "Round 1",1,
 "Round 2",2,
 "Sweet 16",3,
 "Elite 8",4,
 "Final Four",5,
 "Championship",6
)*100
+
COUNTIF($B$2:B3,B3)</f>
        <v>102</v>
      </c>
      <c r="D3" s="5" t="s">
        <v>22</v>
      </c>
      <c r="E3" s="5"/>
      <c r="F3" s="5"/>
      <c r="G3" s="5" t="s">
        <v>31</v>
      </c>
      <c r="H3" s="5" t="s">
        <v>30</v>
      </c>
      <c r="I3" s="15">
        <f t="array" ref="I3">IFERROR(INDEX('Team Ratings'!$B$2:$B$73,MATCH($G3,'Team Ratings'!$A$2:$A$73,0)),"")</f>
        <v>9</v>
      </c>
      <c r="J3" s="15">
        <f t="array" ref="J3">IFERROR(INDEX('Team Ratings'!$B$2:$B$73,MATCH($H3,'Team Ratings'!$A$2:$A$73,0)),"")</f>
        <v>8</v>
      </c>
      <c r="K3" s="12">
        <f>IF($S3=FALSE(),"",ROUND((0.35*IFERROR((U3-AVERAGE('Team Metrics'!$X$2:$X$65))/_xlfn.STDEV.P('Team Metrics'!$X$2:$X$65),0)) + (0.2*IFERROR((V3-AVERAGE('Team Metrics'!$W$2:$W$65))/_xlfn.STDEV.P('Team Metrics'!$W$2:$W$65),0)) + (0.15*IFERROR((W3-AVERAGE('Team Metrics'!$Y$2:$Y$65))/_xlfn.STDEV.P('Team Metrics'!$Y$2:$Y$65),0)) + (0.1*IFERROR((X3-AVERAGE('Team Metrics'!$Z$2:$Z$65))/_xlfn.STDEV.P('Team Metrics'!$Z$2:$Z$65),0)) + (0.1*IFERROR((Y3-AVERAGE('Team Metrics'!$AA$2:$AA$65))/_xlfn.STDEV.P('Team Metrics'!$AA$2:$AA$65),0)) + (0.05*IFERROR((Z3-AVERAGE('Team Metrics'!$AB$2:$AB$65))/_xlfn.STDEV.P('Team Metrics'!$AB$2:$AB$65),0)) + (0.05*IFERROR((AA3-AVERAGE('Team Metrics'!$S$2:$S$65))/IF(_xlfn.STDEV.P('Team Metrics'!$S$2:$S$65)=0,1,_xlfn.STDEV.P('Team Metrics'!$S$2:$S$65)),0)),4))</f>
        <v>0.31430000000000002</v>
      </c>
      <c r="L3" s="12">
        <f>IF($S3=FALSE(),"",ROUND((0.35*IFERROR((AB3-AVERAGE('Team Metrics'!$X$2:$X$65))/_xlfn.STDEV.P('Team Metrics'!$X$2:$X$65),0)) + (0.2*IFERROR((AC3-AVERAGE('Team Metrics'!$W$2:$W$65))/_xlfn.STDEV.P('Team Metrics'!$W$2:$W$65),0)) + (0.15*IFERROR((AD3-AVERAGE('Team Metrics'!$Y$2:$Y$65))/_xlfn.STDEV.P('Team Metrics'!$Y$2:$Y$65),0)) + (0.1*IFERROR((AE3-AVERAGE('Team Metrics'!$Z$2:$Z$65))/_xlfn.STDEV.P('Team Metrics'!$Z$2:$Z$65),0)) + (0.1*IFERROR((AF3-AVERAGE('Team Metrics'!$AA$2:$AA$65))/_xlfn.STDEV.P('Team Metrics'!$AA$2:$AA$65),0)) + (0.05*IFERROR((AG3-AVERAGE('Team Metrics'!$AB$2:$AB$65))/_xlfn.STDEV.P('Team Metrics'!$AB$2:$AB$65),0)) + (0.05*IFERROR((AH3-AVERAGE('Team Metrics'!$S$2:$S$65))/IF(_xlfn.STDEV.P('Team Metrics'!$S$2:$S$65)=0,1,_xlfn.STDEV.P('Team Metrics'!$S$2:$S$65)),0)),4))</f>
        <v>0.57189999999999996</v>
      </c>
      <c r="M3" s="12">
        <f t="shared" si="0"/>
        <v>-0.2576</v>
      </c>
      <c r="N3" s="10" t="str">
        <f t="shared" si="1"/>
        <v>Ohio St.</v>
      </c>
      <c r="O3" s="7">
        <f t="shared" si="2"/>
        <v>53.1</v>
      </c>
      <c r="P3" s="5" t="str">
        <f t="shared" si="3"/>
        <v/>
      </c>
      <c r="Q3" s="5" t="s">
        <v>122</v>
      </c>
      <c r="R3" s="5" t="s">
        <v>132</v>
      </c>
      <c r="S3" s="10" t="b">
        <f t="shared" si="4"/>
        <v>1</v>
      </c>
      <c r="T3" s="5" t="str">
        <f t="shared" si="5"/>
        <v>ΔComposite=0.26; AdjNET Δ=-9.4; 3PT Δ=-0.8; TO Δ=4; REB Δ=2.8</v>
      </c>
      <c r="U3" s="16">
        <f t="array" ref="U3">IF($S3=FALSE(),"",ROUND((0.75*INDEX('Team Ratings'!$G$2:$G$73,MATCH($G3,'Team Ratings'!$A$2:$A$73,0)))+(0.25*INDEX('Team Ratings'!$T$2:$T$73,MATCH($G3,'Team Ratings'!$A$2:$A$73,0))),3))</f>
        <v>17.875</v>
      </c>
      <c r="V3" s="16">
        <f t="array" ref="V3">IF($S3=FALSE(),"",ROUND(INDEX('Team Ratings'!$T$2:$T$73,MATCH($G3,'Team Ratings'!$A$2:$A$73,0))-INDEX('Team Ratings'!$G$2:$G$73,MATCH($G3,'Team Ratings'!$A$2:$A$73,0)),3))</f>
        <v>10.3</v>
      </c>
      <c r="W3" s="16">
        <f t="array" ref="W3">IF($S3=FALSE(),"",ROUND(INDEX('Team Ratings'!$O$2:$O$73,MATCH($G3,'Team Ratings'!$A$2:$A$73,0))-INDEX('Team Ratings'!$P$2:$P$73,MATCH($H3,'Team Ratings'!$A$2:$A$73,0)),3))</f>
        <v>1.5</v>
      </c>
      <c r="X3" s="16">
        <f t="array" ref="X3">IF($S3=FALSE(),"",ROUND(INDEX('Team Ratings'!$K$2:$K$73,MATCH($G3,'Team Ratings'!$A$2:$A$73,0))-INDEX('Team Ratings'!$J$2:$J$73,MATCH($H3,'Team Ratings'!$A$2:$A$73,0)),3))</f>
        <v>4.3</v>
      </c>
      <c r="Y3" s="16">
        <f t="array" ref="Y3">IF($S3=FALSE(),"",ROUND(MAX(0,MIN(10,5+((INDEX('Team Ratings'!$L$2:$L$73,MATCH($G3,'Team Ratings'!$A$2:$A$73,0))-INDEX('Team Ratings'!$M$2:$M$73,MATCH($H3,'Team Ratings'!$A$2:$A$73,0)))+(INDEX('Team Ratings'!$M$2:$M$73,MATCH($G3,'Team Ratings'!$A$2:$A$73,0))-INDEX('Team Ratings'!$L$2:$L$73,MATCH($H3,'Team Ratings'!$A$2:$A$73,0))))/2)),3))</f>
        <v>6.4</v>
      </c>
      <c r="Z3" s="16">
        <f t="array" ref="Z3">IF($S3=FALSE(),"",ROUND((1/I3)*4 + (INDEX('Team Ratings'!$T$2:$T$73,MATCH($G3,'Team Ratings'!$A$2:$A$73,0))/MAX('Team Ratings'!$T$2:$T$73))*4 + (1-(INDEX('Team Ratings'!$J$2:$J$73,MATCH($G3,'Team Ratings'!$A$2:$A$73,0))/MAX('Team Ratings'!$J$2:$J$73)))*2 + (INDEX('Team Ratings'!$N$2:$N$73,MATCH($G3,'Team Ratings'!$A$2:$A$73,0))/MAX('Team Ratings'!$N$2:$N$73)) + (INDEX('Team Ratings'!$M$2:$M$73,MATCH($G3,'Team Ratings'!$A$2:$A$73,0))/MAX('Team Ratings'!$M$2:$M$73)),2))</f>
        <v>5.14</v>
      </c>
      <c r="AA3" s="16">
        <f t="array" ref="AA3">IF($S3=FALSE(),"",IFERROR(INDEX('Team Ratings'!$Q$2:$Q$73,MATCH($G3,'Team Ratings'!$A$2:$A$73,0)),0))</f>
        <v>0</v>
      </c>
      <c r="AB3" s="16">
        <f t="array" ref="AB3">IF($S3=FALSE(),"",ROUND((0.75*INDEX('Team Ratings'!$G$2:$G$73,MATCH($H3,'Team Ratings'!$A$2:$A$73,0)))+(0.25*INDEX('Team Ratings'!$T$2:$T$73,MATCH($H3,'Team Ratings'!$A$2:$A$73,0))),3))</f>
        <v>27.3</v>
      </c>
      <c r="AC3" s="16">
        <f t="array" ref="AC3">IF($S3=FALSE(),"",ROUND(INDEX('Team Ratings'!$T$2:$T$73,MATCH($H3,'Team Ratings'!$A$2:$A$73,0))-INDEX('Team Ratings'!$G$2:$G$73,MATCH($H3,'Team Ratings'!$A$2:$A$73,0)),3))</f>
        <v>14.8</v>
      </c>
      <c r="AD3" s="16">
        <f t="array" ref="AD3">IF($S3=FALSE(),"",ROUND(INDEX('Team Ratings'!$O$2:$O$73,MATCH($H3,'Team Ratings'!$A$2:$A$73,0))-INDEX('Team Ratings'!$P$2:$P$73,MATCH($G3,'Team Ratings'!$A$2:$A$73,0)),3))</f>
        <v>2.2999999999999998</v>
      </c>
      <c r="AE3" s="16">
        <f t="array" ref="AE3">IF($S3=FALSE(),"",ROUND(INDEX('Team Ratings'!$K$2:$K$73,MATCH($H3,'Team Ratings'!$A$2:$A$73,0))-INDEX('Team Ratings'!$J$2:$J$73,MATCH($G3,'Team Ratings'!$A$2:$A$73,0)),3))</f>
        <v>0.3</v>
      </c>
      <c r="AF3" s="16">
        <f t="array" ref="AF3">IF($S3=FALSE(),"",ROUND(MAX(0,MIN(10,5+((INDEX('Team Ratings'!$L$2:$L$73,MATCH($H3,'Team Ratings'!$A$2:$A$73,0))-INDEX('Team Ratings'!$M$2:$M$73,MATCH($G3,'Team Ratings'!$A$2:$A$73,0)))+(INDEX('Team Ratings'!$M$2:$M$73,MATCH($H3,'Team Ratings'!$A$2:$A$73,0))-INDEX('Team Ratings'!$L$2:$L$73,MATCH($G3,'Team Ratings'!$A$2:$A$73,0))))/2)),3))</f>
        <v>3.6</v>
      </c>
      <c r="AG3" s="16">
        <f t="array" ref="AG3">IF($S3=FALSE(),"",ROUND((1/J3)*4 + (INDEX('Team Ratings'!$T$2:$T$73,MATCH($H3,'Team Ratings'!$A$2:$A$73,0))/MAX('Team Ratings'!$T$2:$T$73))*4 + (1-(INDEX('Team Ratings'!$J$2:$J$73,MATCH($H3,'Team Ratings'!$A$2:$A$73,0))/MAX('Team Ratings'!$J$2:$J$73)))*2 + (INDEX('Team Ratings'!$N$2:$N$73,MATCH($H3,'Team Ratings'!$A$2:$A$73,0))/MAX('Team Ratings'!$N$2:$N$73)) + (INDEX('Team Ratings'!$M$2:$M$73,MATCH($H3,'Team Ratings'!$A$2:$A$73,0))/MAX('Team Ratings'!$M$2:$M$73)),2))</f>
        <v>6.5</v>
      </c>
      <c r="AH3" s="16">
        <f t="array" ref="AH3">IF($S3=FALSE(),"",IFERROR(INDEX('Team Ratings'!$Q$2:$Q$73,MATCH($H3,'Team Ratings'!$A$2:$A$73,0)),0))</f>
        <v>0</v>
      </c>
      <c r="AI3" s="10" t="b">
        <f t="shared" si="6"/>
        <v>1</v>
      </c>
      <c r="AJ3" s="10"/>
      <c r="AK3" s="10" t="str">
        <f t="shared" si="7"/>
        <v>Ohio St.</v>
      </c>
      <c r="AL3" s="10">
        <v>9</v>
      </c>
    </row>
    <row r="4" spans="1:38" ht="20" customHeight="1" x14ac:dyDescent="0.2">
      <c r="A4" s="14" t="s">
        <v>155</v>
      </c>
      <c r="B4" s="14" t="s">
        <v>201</v>
      </c>
      <c r="C4" s="5">
        <f>_xlfn.SWITCH(B4,
 "Round 1",1,
 "Round 2",2,
 "Sweet 16",3,
 "Elite 8",4,
 "Final Four",5,
 "Championship",6
)*100
+
COUNTIF($B$2:B4,B4)</f>
        <v>103</v>
      </c>
      <c r="D4" s="5" t="s">
        <v>22</v>
      </c>
      <c r="E4" s="5"/>
      <c r="F4" s="5"/>
      <c r="G4" s="5" t="s">
        <v>27</v>
      </c>
      <c r="H4" s="5" t="s">
        <v>34</v>
      </c>
      <c r="I4" s="15">
        <f t="array" ref="I4">IFERROR(INDEX('Team Ratings'!$B$2:$B$73,MATCH($G4,'Team Ratings'!$A$2:$A$73,0)),"")</f>
        <v>5</v>
      </c>
      <c r="J4" s="15">
        <f t="array" ref="J4">IFERROR(INDEX('Team Ratings'!$B$2:$B$73,MATCH($H4,'Team Ratings'!$A$2:$A$73,0)),"")</f>
        <v>12</v>
      </c>
      <c r="K4" s="12">
        <f>IF($S4=FALSE(),"",ROUND((0.35*IFERROR((U4-AVERAGE('Team Metrics'!$X$2:$X$65))/_xlfn.STDEV.P('Team Metrics'!$X$2:$X$65),0)) + (0.2*IFERROR((V4-AVERAGE('Team Metrics'!$W$2:$W$65))/_xlfn.STDEV.P('Team Metrics'!$W$2:$W$65),0)) + (0.15*IFERROR((W4-AVERAGE('Team Metrics'!$Y$2:$Y$65))/_xlfn.STDEV.P('Team Metrics'!$Y$2:$Y$65),0)) + (0.1*IFERROR((X4-AVERAGE('Team Metrics'!$Z$2:$Z$65))/_xlfn.STDEV.P('Team Metrics'!$Z$2:$Z$65),0)) + (0.1*IFERROR((Y4-AVERAGE('Team Metrics'!$AA$2:$AA$65))/_xlfn.STDEV.P('Team Metrics'!$AA$2:$AA$65),0)) + (0.05*IFERROR((Z4-AVERAGE('Team Metrics'!$AB$2:$AB$65))/_xlfn.STDEV.P('Team Metrics'!$AB$2:$AB$65),0)) + (0.05*IFERROR((AA4-AVERAGE('Team Metrics'!$S$2:$S$65))/IF(_xlfn.STDEV.P('Team Metrics'!$S$2:$S$65)=0,1,_xlfn.STDEV.P('Team Metrics'!$S$2:$S$65)),0)),4))</f>
        <v>0.87419999999999998</v>
      </c>
      <c r="L4" s="12">
        <f>IF($S4=FALSE(),"",ROUND((0.35*IFERROR((AB4-AVERAGE('Team Metrics'!$X$2:$X$65))/_xlfn.STDEV.P('Team Metrics'!$X$2:$X$65),0)) + (0.2*IFERROR((AC4-AVERAGE('Team Metrics'!$W$2:$W$65))/_xlfn.STDEV.P('Team Metrics'!$W$2:$W$65),0)) + (0.15*IFERROR((AD4-AVERAGE('Team Metrics'!$Y$2:$Y$65))/_xlfn.STDEV.P('Team Metrics'!$Y$2:$Y$65),0)) + (0.1*IFERROR((AE4-AVERAGE('Team Metrics'!$Z$2:$Z$65))/_xlfn.STDEV.P('Team Metrics'!$Z$2:$Z$65),0)) + (0.1*IFERROR((AF4-AVERAGE('Team Metrics'!$AA$2:$AA$65))/_xlfn.STDEV.P('Team Metrics'!$AA$2:$AA$65),0)) + (0.05*IFERROR((AG4-AVERAGE('Team Metrics'!$AB$2:$AB$65))/_xlfn.STDEV.P('Team Metrics'!$AB$2:$AB$65),0)) + (0.05*IFERROR((AH4-AVERAGE('Team Metrics'!$S$2:$S$65))/IF(_xlfn.STDEV.P('Team Metrics'!$S$2:$S$65)=0,1,_xlfn.STDEV.P('Team Metrics'!$S$2:$S$65)),0)),4))</f>
        <v>5.7099999999999998E-2</v>
      </c>
      <c r="M4" s="12">
        <f t="shared" si="0"/>
        <v>0.81710000000000005</v>
      </c>
      <c r="N4" s="10" t="str">
        <f t="shared" si="1"/>
        <v>St. John's</v>
      </c>
      <c r="O4" s="7">
        <f t="shared" si="2"/>
        <v>59.8</v>
      </c>
      <c r="P4" s="5" t="str">
        <f t="shared" si="3"/>
        <v/>
      </c>
      <c r="Q4" s="5" t="s">
        <v>148</v>
      </c>
      <c r="R4" s="5" t="s">
        <v>123</v>
      </c>
      <c r="S4" s="10" t="b">
        <f t="shared" si="4"/>
        <v>1</v>
      </c>
      <c r="T4" s="5" t="str">
        <f t="shared" si="5"/>
        <v>ΔComposite=0.82; AdjNET Δ=13.5; 3PT Δ=0.7; TO Δ=1.4; REB Δ=10</v>
      </c>
      <c r="U4" s="16">
        <f t="array" ref="U4">IF($S4=FALSE(),"",ROUND((0.75*INDEX('Team Ratings'!$G$2:$G$73,MATCH($G4,'Team Ratings'!$A$2:$A$73,0)))+(0.25*INDEX('Team Ratings'!$T$2:$T$73,MATCH($G4,'Team Ratings'!$A$2:$A$73,0))),3))</f>
        <v>27.324999999999999</v>
      </c>
      <c r="V4" s="16">
        <f t="array" ref="V4">IF($S4=FALSE(),"",ROUND(INDEX('Team Ratings'!$T$2:$T$73,MATCH($G4,'Team Ratings'!$A$2:$A$73,0))-INDEX('Team Ratings'!$G$2:$G$73,MATCH($G4,'Team Ratings'!$A$2:$A$73,0)),3))</f>
        <v>6.5</v>
      </c>
      <c r="W4" s="16">
        <f t="array" ref="W4">IF($S4=FALSE(),"",ROUND(INDEX('Team Ratings'!$O$2:$O$73,MATCH($G4,'Team Ratings'!$A$2:$A$73,0))-INDEX('Team Ratings'!$P$2:$P$73,MATCH($H4,'Team Ratings'!$A$2:$A$73,0)),3))</f>
        <v>4.3</v>
      </c>
      <c r="X4" s="16">
        <f t="array" ref="X4">IF($S4=FALSE(),"",ROUND(INDEX('Team Ratings'!$K$2:$K$73,MATCH($G4,'Team Ratings'!$A$2:$A$73,0))-INDEX('Team Ratings'!$J$2:$J$73,MATCH($H4,'Team Ratings'!$A$2:$A$73,0)),3))</f>
        <v>4.8</v>
      </c>
      <c r="Y4" s="16">
        <f t="array" ref="Y4">IF($S4=FALSE(),"",ROUND(MAX(0,MIN(10,5+((INDEX('Team Ratings'!$L$2:$L$73,MATCH($G4,'Team Ratings'!$A$2:$A$73,0))-INDEX('Team Ratings'!$M$2:$M$73,MATCH($H4,'Team Ratings'!$A$2:$A$73,0)))+(INDEX('Team Ratings'!$M$2:$M$73,MATCH($G4,'Team Ratings'!$A$2:$A$73,0))-INDEX('Team Ratings'!$L$2:$L$73,MATCH($H4,'Team Ratings'!$A$2:$A$73,0))))/2)),3))</f>
        <v>10</v>
      </c>
      <c r="Z4" s="16">
        <f t="array" ref="Z4">IF($S4=FALSE(),"",ROUND((1/I4)*4 + (INDEX('Team Ratings'!$T$2:$T$73,MATCH($G4,'Team Ratings'!$A$2:$A$73,0))/MAX('Team Ratings'!$T$2:$T$73))*4 + (1-(INDEX('Team Ratings'!$J$2:$J$73,MATCH($G4,'Team Ratings'!$A$2:$A$73,0))/MAX('Team Ratings'!$J$2:$J$73)))*2 + (INDEX('Team Ratings'!$N$2:$N$73,MATCH($G4,'Team Ratings'!$A$2:$A$73,0))/MAX('Team Ratings'!$N$2:$N$73)) + (INDEX('Team Ratings'!$M$2:$M$73,MATCH($G4,'Team Ratings'!$A$2:$A$73,0))/MAX('Team Ratings'!$M$2:$M$73)),2))</f>
        <v>6.34</v>
      </c>
      <c r="AA4" s="16">
        <f t="array" ref="AA4">IF($S4=FALSE(),"",IFERROR(INDEX('Team Ratings'!$Q$2:$Q$73,MATCH($G4,'Team Ratings'!$A$2:$A$73,0)),0))</f>
        <v>0</v>
      </c>
      <c r="AB4" s="16">
        <f t="array" ref="AB4">IF($S4=FALSE(),"",ROUND((0.75*INDEX('Team Ratings'!$G$2:$G$73,MATCH($H4,'Team Ratings'!$A$2:$A$73,0)))+(0.25*INDEX('Team Ratings'!$T$2:$T$73,MATCH($H4,'Team Ratings'!$A$2:$A$73,0))),3))</f>
        <v>13.875</v>
      </c>
      <c r="AC4" s="16">
        <f t="array" ref="AC4">IF($S4=FALSE(),"",ROUND(INDEX('Team Ratings'!$T$2:$T$73,MATCH($H4,'Team Ratings'!$A$2:$A$73,0))-INDEX('Team Ratings'!$G$2:$G$73,MATCH($H4,'Team Ratings'!$A$2:$A$73,0)),3))</f>
        <v>10.7</v>
      </c>
      <c r="AD4" s="16">
        <f t="array" ref="AD4">IF($S4=FALSE(),"",ROUND(INDEX('Team Ratings'!$O$2:$O$73,MATCH($H4,'Team Ratings'!$A$2:$A$73,0))-INDEX('Team Ratings'!$P$2:$P$73,MATCH($G4,'Team Ratings'!$A$2:$A$73,0)),3))</f>
        <v>3.6</v>
      </c>
      <c r="AE4" s="16">
        <f t="array" ref="AE4">IF($S4=FALSE(),"",ROUND(INDEX('Team Ratings'!$K$2:$K$73,MATCH($H4,'Team Ratings'!$A$2:$A$73,0))-INDEX('Team Ratings'!$J$2:$J$73,MATCH($G4,'Team Ratings'!$A$2:$A$73,0)),3))</f>
        <v>3.4</v>
      </c>
      <c r="AF4" s="16">
        <f t="array" ref="AF4">IF($S4=FALSE(),"",ROUND(MAX(0,MIN(10,5+((INDEX('Team Ratings'!$L$2:$L$73,MATCH($H4,'Team Ratings'!$A$2:$A$73,0))-INDEX('Team Ratings'!$M$2:$M$73,MATCH($G4,'Team Ratings'!$A$2:$A$73,0)))+(INDEX('Team Ratings'!$M$2:$M$73,MATCH($H4,'Team Ratings'!$A$2:$A$73,0))-INDEX('Team Ratings'!$L$2:$L$73,MATCH($G4,'Team Ratings'!$A$2:$A$73,0))))/2)),3))</f>
        <v>0</v>
      </c>
      <c r="AG4" s="16">
        <f t="array" ref="AG4">IF($S4=FALSE(),"",ROUND((1/J4)*4 + (INDEX('Team Ratings'!$T$2:$T$73,MATCH($H4,'Team Ratings'!$A$2:$A$73,0))/MAX('Team Ratings'!$T$2:$T$73))*4 + (1-(INDEX('Team Ratings'!$J$2:$J$73,MATCH($H4,'Team Ratings'!$A$2:$A$73,0))/MAX('Team Ratings'!$J$2:$J$73)))*2 + (INDEX('Team Ratings'!$N$2:$N$73,MATCH($H4,'Team Ratings'!$A$2:$A$73,0))/MAX('Team Ratings'!$N$2:$N$73)) + (INDEX('Team Ratings'!$M$2:$M$73,MATCH($H4,'Team Ratings'!$A$2:$A$73,0))/MAX('Team Ratings'!$M$2:$M$73)),2))</f>
        <v>4.38</v>
      </c>
      <c r="AH4" s="16">
        <f t="array" ref="AH4">IF($S4=FALSE(),"",IFERROR(INDEX('Team Ratings'!$Q$2:$Q$73,MATCH($H4,'Team Ratings'!$A$2:$A$73,0)),0))</f>
        <v>0</v>
      </c>
      <c r="AI4" s="10" t="b">
        <f t="shared" si="6"/>
        <v>1</v>
      </c>
      <c r="AJ4" s="10"/>
      <c r="AK4" s="10" t="str">
        <f t="shared" si="7"/>
        <v>St. John's</v>
      </c>
      <c r="AL4" s="10">
        <v>9</v>
      </c>
    </row>
    <row r="5" spans="1:38" ht="20" customHeight="1" x14ac:dyDescent="0.2">
      <c r="A5" s="14" t="s">
        <v>147</v>
      </c>
      <c r="B5" s="14" t="s">
        <v>201</v>
      </c>
      <c r="C5" s="5">
        <f>_xlfn.SWITCH(B5,
 "Round 1",1,
 "Round 2",2,
 "Sweet 16",3,
 "Elite 8",4,
 "Final Four",5,
 "Championship",6
)*100
+
COUNTIF($B$2:B5,B5)</f>
        <v>104</v>
      </c>
      <c r="D5" s="5" t="s">
        <v>22</v>
      </c>
      <c r="E5" s="5"/>
      <c r="F5" s="5"/>
      <c r="G5" s="5" t="s">
        <v>35</v>
      </c>
      <c r="H5" s="5" t="s">
        <v>26</v>
      </c>
      <c r="I5" s="15">
        <f t="array" ref="I5">IFERROR(INDEX('Team Ratings'!$B$2:$B$73,MATCH($G5,'Team Ratings'!$A$2:$A$73,0)),"")</f>
        <v>13</v>
      </c>
      <c r="J5" s="15">
        <f t="array" ref="J5">IFERROR(INDEX('Team Ratings'!$B$2:$B$73,MATCH($H5,'Team Ratings'!$A$2:$A$73,0)),"")</f>
        <v>4</v>
      </c>
      <c r="K5" s="12">
        <f>IF($S5=FALSE(),"",ROUND((0.35*IFERROR((U5-AVERAGE('Team Metrics'!$X$2:$X$65))/_xlfn.STDEV.P('Team Metrics'!$X$2:$X$65),0)) + (0.2*IFERROR((V5-AVERAGE('Team Metrics'!$W$2:$W$65))/_xlfn.STDEV.P('Team Metrics'!$W$2:$W$65),0)) + (0.15*IFERROR((W5-AVERAGE('Team Metrics'!$Y$2:$Y$65))/_xlfn.STDEV.P('Team Metrics'!$Y$2:$Y$65),0)) + (0.1*IFERROR((X5-AVERAGE('Team Metrics'!$Z$2:$Z$65))/_xlfn.STDEV.P('Team Metrics'!$Z$2:$Z$65),0)) + (0.1*IFERROR((Y5-AVERAGE('Team Metrics'!$AA$2:$AA$65))/_xlfn.STDEV.P('Team Metrics'!$AA$2:$AA$65),0)) + (0.05*IFERROR((Z5-AVERAGE('Team Metrics'!$AB$2:$AB$65))/_xlfn.STDEV.P('Team Metrics'!$AB$2:$AB$65),0)) + (0.05*IFERROR((AA5-AVERAGE('Team Metrics'!$S$2:$S$65))/IF(_xlfn.STDEV.P('Team Metrics'!$S$2:$S$65)=0,1,_xlfn.STDEV.P('Team Metrics'!$S$2:$S$65)),0)),4))</f>
        <v>0.1273</v>
      </c>
      <c r="L5" s="12">
        <f>IF($S5=FALSE(),"",ROUND((0.35*IFERROR((AB5-AVERAGE('Team Metrics'!$X$2:$X$65))/_xlfn.STDEV.P('Team Metrics'!$X$2:$X$65),0)) + (0.2*IFERROR((AC5-AVERAGE('Team Metrics'!$W$2:$W$65))/_xlfn.STDEV.P('Team Metrics'!$W$2:$W$65),0)) + (0.15*IFERROR((AD5-AVERAGE('Team Metrics'!$Y$2:$Y$65))/_xlfn.STDEV.P('Team Metrics'!$Y$2:$Y$65),0)) + (0.1*IFERROR((AE5-AVERAGE('Team Metrics'!$Z$2:$Z$65))/_xlfn.STDEV.P('Team Metrics'!$Z$2:$Z$65),0)) + (0.1*IFERROR((AF5-AVERAGE('Team Metrics'!$AA$2:$AA$65))/_xlfn.STDEV.P('Team Metrics'!$AA$2:$AA$65),0)) + (0.05*IFERROR((AG5-AVERAGE('Team Metrics'!$AB$2:$AB$65))/_xlfn.STDEV.P('Team Metrics'!$AB$2:$AB$65),0)) + (0.05*IFERROR((AH5-AVERAGE('Team Metrics'!$S$2:$S$65))/IF(_xlfn.STDEV.P('Team Metrics'!$S$2:$S$65)=0,1,_xlfn.STDEV.P('Team Metrics'!$S$2:$S$65)),0)),4))</f>
        <v>-0.4335</v>
      </c>
      <c r="M5" s="12">
        <f t="shared" si="0"/>
        <v>0.56079999999999997</v>
      </c>
      <c r="N5" s="10" t="str">
        <f t="shared" si="1"/>
        <v>Cal Baptist</v>
      </c>
      <c r="O5" s="7">
        <f t="shared" si="2"/>
        <v>56.7</v>
      </c>
      <c r="P5" s="5" t="str">
        <f t="shared" si="3"/>
        <v>UPSET</v>
      </c>
      <c r="Q5" s="5" t="s">
        <v>148</v>
      </c>
      <c r="R5" s="5" t="s">
        <v>132</v>
      </c>
      <c r="S5" s="10" t="b">
        <f t="shared" si="4"/>
        <v>1</v>
      </c>
      <c r="T5" s="5" t="str">
        <f t="shared" si="5"/>
        <v>ΔComposite=0.56; AdjNET Δ=-9.6; 3PT Δ=-2.3; TO Δ=5.7; REB Δ=5.4</v>
      </c>
      <c r="U5" s="16">
        <f t="array" ref="U5">IF($S5=FALSE(),"",ROUND((0.75*INDEX('Team Ratings'!$G$2:$G$73,MATCH($G5,'Team Ratings'!$A$2:$A$73,0)))+(0.25*INDEX('Team Ratings'!$T$2:$T$73,MATCH($G5,'Team Ratings'!$A$2:$A$73,0))),3))</f>
        <v>10.175000000000001</v>
      </c>
      <c r="V5" s="16">
        <f t="array" ref="V5">IF($S5=FALSE(),"",ROUND(INDEX('Team Ratings'!$T$2:$T$73,MATCH($G5,'Team Ratings'!$A$2:$A$73,0))-INDEX('Team Ratings'!$G$2:$G$73,MATCH($G5,'Team Ratings'!$A$2:$A$73,0)),3))</f>
        <v>11.9</v>
      </c>
      <c r="W5" s="16">
        <f t="array" ref="W5">IF($S5=FALSE(),"",ROUND(INDEX('Team Ratings'!$O$2:$O$73,MATCH($G5,'Team Ratings'!$A$2:$A$73,0))-INDEX('Team Ratings'!$P$2:$P$73,MATCH($H5,'Team Ratings'!$A$2:$A$73,0)),3))</f>
        <v>3</v>
      </c>
      <c r="X5" s="16">
        <f t="array" ref="X5">IF($S5=FALSE(),"",ROUND(INDEX('Team Ratings'!$K$2:$K$73,MATCH($G5,'Team Ratings'!$A$2:$A$73,0))-INDEX('Team Ratings'!$J$2:$J$73,MATCH($H5,'Team Ratings'!$A$2:$A$73,0)),3))</f>
        <v>1.6</v>
      </c>
      <c r="Y5" s="16">
        <f t="array" ref="Y5">IF($S5=FALSE(),"",ROUND(MAX(0,MIN(10,5+((INDEX('Team Ratings'!$L$2:$L$73,MATCH($G5,'Team Ratings'!$A$2:$A$73,0))-INDEX('Team Ratings'!$M$2:$M$73,MATCH($H5,'Team Ratings'!$A$2:$A$73,0)))+(INDEX('Team Ratings'!$M$2:$M$73,MATCH($G5,'Team Ratings'!$A$2:$A$73,0))-INDEX('Team Ratings'!$L$2:$L$73,MATCH($H5,'Team Ratings'!$A$2:$A$73,0))))/2)),3))</f>
        <v>7.7</v>
      </c>
      <c r="Z5" s="16">
        <f t="array" ref="Z5">IF($S5=FALSE(),"",ROUND((1/I5)*4 + (INDEX('Team Ratings'!$T$2:$T$73,MATCH($G5,'Team Ratings'!$A$2:$A$73,0))/MAX('Team Ratings'!$T$2:$T$73))*4 + (1-(INDEX('Team Ratings'!$J$2:$J$73,MATCH($G5,'Team Ratings'!$A$2:$A$73,0))/MAX('Team Ratings'!$J$2:$J$73)))*2 + (INDEX('Team Ratings'!$N$2:$N$73,MATCH($G5,'Team Ratings'!$A$2:$A$73,0))/MAX('Team Ratings'!$N$2:$N$73)) + (INDEX('Team Ratings'!$M$2:$M$73,MATCH($G5,'Team Ratings'!$A$2:$A$73,0))/MAX('Team Ratings'!$M$2:$M$73)),2))</f>
        <v>3.97</v>
      </c>
      <c r="AA5" s="16">
        <f t="array" ref="AA5">IF($S5=FALSE(),"",IFERROR(INDEX('Team Ratings'!$Q$2:$Q$73,MATCH($G5,'Team Ratings'!$A$2:$A$73,0)),0))</f>
        <v>0</v>
      </c>
      <c r="AB5" s="16">
        <f t="array" ref="AB5">IF($S5=FALSE(),"",ROUND((0.75*INDEX('Team Ratings'!$G$2:$G$73,MATCH($H5,'Team Ratings'!$A$2:$A$73,0)))+(0.25*INDEX('Team Ratings'!$T$2:$T$73,MATCH($H5,'Team Ratings'!$A$2:$A$73,0))),3))</f>
        <v>19.725000000000001</v>
      </c>
      <c r="AC5" s="16">
        <f t="array" ref="AC5">IF($S5=FALSE(),"",ROUND(INDEX('Team Ratings'!$T$2:$T$73,MATCH($H5,'Team Ratings'!$A$2:$A$73,0))-INDEX('Team Ratings'!$G$2:$G$73,MATCH($H5,'Team Ratings'!$A$2:$A$73,0)),3))</f>
        <v>-14.7</v>
      </c>
      <c r="AD5" s="16">
        <f t="array" ref="AD5">IF($S5=FALSE(),"",ROUND(INDEX('Team Ratings'!$O$2:$O$73,MATCH($H5,'Team Ratings'!$A$2:$A$73,0))-INDEX('Team Ratings'!$P$2:$P$73,MATCH($G5,'Team Ratings'!$A$2:$A$73,0)),3))</f>
        <v>5.3</v>
      </c>
      <c r="AE5" s="16">
        <f t="array" ref="AE5">IF($S5=FALSE(),"",ROUND(INDEX('Team Ratings'!$K$2:$K$73,MATCH($H5,'Team Ratings'!$A$2:$A$73,0))-INDEX('Team Ratings'!$J$2:$J$73,MATCH($G5,'Team Ratings'!$A$2:$A$73,0)),3))</f>
        <v>-4.0999999999999996</v>
      </c>
      <c r="AF5" s="16">
        <f t="array" ref="AF5">IF($S5=FALSE(),"",ROUND(MAX(0,MIN(10,5+((INDEX('Team Ratings'!$L$2:$L$73,MATCH($H5,'Team Ratings'!$A$2:$A$73,0))-INDEX('Team Ratings'!$M$2:$M$73,MATCH($G5,'Team Ratings'!$A$2:$A$73,0)))+(INDEX('Team Ratings'!$M$2:$M$73,MATCH($H5,'Team Ratings'!$A$2:$A$73,0))-INDEX('Team Ratings'!$L$2:$L$73,MATCH($G5,'Team Ratings'!$A$2:$A$73,0))))/2)),3))</f>
        <v>2.2999999999999998</v>
      </c>
      <c r="AG5" s="16">
        <f t="array" ref="AG5">IF($S5=FALSE(),"",ROUND((1/J5)*4 + (INDEX('Team Ratings'!$T$2:$T$73,MATCH($H5,'Team Ratings'!$A$2:$A$73,0))/MAX('Team Ratings'!$T$2:$T$73))*4 + (1-(INDEX('Team Ratings'!$J$2:$J$73,MATCH($H5,'Team Ratings'!$A$2:$A$73,0))/MAX('Team Ratings'!$J$2:$J$73)))*2 + (INDEX('Team Ratings'!$N$2:$N$73,MATCH($H5,'Team Ratings'!$A$2:$A$73,0))/MAX('Team Ratings'!$N$2:$N$73)) + (INDEX('Team Ratings'!$M$2:$M$73,MATCH($H5,'Team Ratings'!$A$2:$A$73,0))/MAX('Team Ratings'!$M$2:$M$73)),2))</f>
        <v>3.88</v>
      </c>
      <c r="AH5" s="16">
        <f t="array" ref="AH5">IF($S5=FALSE(),"",IFERROR(INDEX('Team Ratings'!$Q$2:$Q$73,MATCH($H5,'Team Ratings'!$A$2:$A$73,0)),0))</f>
        <v>0</v>
      </c>
      <c r="AI5" s="10" t="b">
        <f t="shared" si="6"/>
        <v>1</v>
      </c>
      <c r="AJ5" s="10"/>
      <c r="AK5" s="10" t="str">
        <f t="shared" si="7"/>
        <v>Cal Baptist</v>
      </c>
      <c r="AL5" s="10">
        <v>9</v>
      </c>
    </row>
    <row r="6" spans="1:38" ht="20" customHeight="1" x14ac:dyDescent="0.2">
      <c r="A6" s="14" t="s">
        <v>159</v>
      </c>
      <c r="B6" s="14" t="s">
        <v>201</v>
      </c>
      <c r="C6" s="5">
        <f>_xlfn.SWITCH(B6,
 "Round 1",1,
 "Round 2",2,
 "Sweet 16",3,
 "Elite 8",4,
 "Final Four",5,
 "Championship",6
)*100
+
COUNTIF($B$2:B6,B6)</f>
        <v>105</v>
      </c>
      <c r="D6" s="5" t="s">
        <v>22</v>
      </c>
      <c r="E6" s="5"/>
      <c r="F6" s="5"/>
      <c r="G6" s="5" t="s">
        <v>28</v>
      </c>
      <c r="H6" s="5" t="s">
        <v>33</v>
      </c>
      <c r="I6" s="15">
        <f t="array" ref="I6">IFERROR(INDEX('Team Ratings'!$B$2:$B$73,MATCH($G6,'Team Ratings'!$A$2:$A$73,0)),"")</f>
        <v>6</v>
      </c>
      <c r="J6" s="15">
        <f t="array" ref="J6">IFERROR(INDEX('Team Ratings'!$B$2:$B$73,MATCH($H6,'Team Ratings'!$A$2:$A$73,0)),"")</f>
        <v>11</v>
      </c>
      <c r="K6" s="12">
        <f>IF($S6=FALSE(),"",ROUND((0.35*IFERROR((U6-AVERAGE('Team Metrics'!$X$2:$X$65))/_xlfn.STDEV.P('Team Metrics'!$X$2:$X$65),0)) + (0.2*IFERROR((V6-AVERAGE('Team Metrics'!$W$2:$W$65))/_xlfn.STDEV.P('Team Metrics'!$W$2:$W$65),0)) + (0.15*IFERROR((W6-AVERAGE('Team Metrics'!$Y$2:$Y$65))/_xlfn.STDEV.P('Team Metrics'!$Y$2:$Y$65),0)) + (0.1*IFERROR((X6-AVERAGE('Team Metrics'!$Z$2:$Z$65))/_xlfn.STDEV.P('Team Metrics'!$Z$2:$Z$65),0)) + (0.1*IFERROR((Y6-AVERAGE('Team Metrics'!$AA$2:$AA$65))/_xlfn.STDEV.P('Team Metrics'!$AA$2:$AA$65),0)) + (0.05*IFERROR((Z6-AVERAGE('Team Metrics'!$AB$2:$AB$65))/_xlfn.STDEV.P('Team Metrics'!$AB$2:$AB$65),0)) + (0.05*IFERROR((AA6-AVERAGE('Team Metrics'!$S$2:$S$65))/IF(_xlfn.STDEV.P('Team Metrics'!$S$2:$S$65)=0,1,_xlfn.STDEV.P('Team Metrics'!$S$2:$S$65)),0)),4))</f>
        <v>-0.16639999999999999</v>
      </c>
      <c r="L6" s="12">
        <f>IF($S6=FALSE(),"",ROUND((0.35*IFERROR((AB6-AVERAGE('Team Metrics'!$X$2:$X$65))/_xlfn.STDEV.P('Team Metrics'!$X$2:$X$65),0)) + (0.2*IFERROR((AC6-AVERAGE('Team Metrics'!$W$2:$W$65))/_xlfn.STDEV.P('Team Metrics'!$W$2:$W$65),0)) + (0.15*IFERROR((AD6-AVERAGE('Team Metrics'!$Y$2:$Y$65))/_xlfn.STDEV.P('Team Metrics'!$Y$2:$Y$65),0)) + (0.1*IFERROR((AE6-AVERAGE('Team Metrics'!$Z$2:$Z$65))/_xlfn.STDEV.P('Team Metrics'!$Z$2:$Z$65),0)) + (0.1*IFERROR((AF6-AVERAGE('Team Metrics'!$AA$2:$AA$65))/_xlfn.STDEV.P('Team Metrics'!$AA$2:$AA$65),0)) + (0.05*IFERROR((AG6-AVERAGE('Team Metrics'!$AB$2:$AB$65))/_xlfn.STDEV.P('Team Metrics'!$AB$2:$AB$65),0)) + (0.05*IFERROR((AH6-AVERAGE('Team Metrics'!$S$2:$S$65))/IF(_xlfn.STDEV.P('Team Metrics'!$S$2:$S$65)=0,1,_xlfn.STDEV.P('Team Metrics'!$S$2:$S$65)),0)),4))</f>
        <v>0.1719</v>
      </c>
      <c r="M6" s="12">
        <f t="shared" si="0"/>
        <v>-0.33829999999999999</v>
      </c>
      <c r="N6" s="10" t="str">
        <f t="shared" si="1"/>
        <v>South Florida</v>
      </c>
      <c r="O6" s="7">
        <f t="shared" si="2"/>
        <v>54.1</v>
      </c>
      <c r="P6" s="5" t="str">
        <f t="shared" si="3"/>
        <v>UPSET</v>
      </c>
      <c r="Q6" s="5" t="s">
        <v>140</v>
      </c>
      <c r="R6" s="5" t="s">
        <v>123</v>
      </c>
      <c r="S6" s="10" t="b">
        <f t="shared" si="4"/>
        <v>1</v>
      </c>
      <c r="T6" s="5" t="str">
        <f t="shared" si="5"/>
        <v>ΔComposite=0.34; AdjNET Δ=8.9; 3PT Δ=1.4; TO Δ=-0.9; REB Δ=-10</v>
      </c>
      <c r="U6" s="16">
        <f t="array" ref="U6">IF($S6=FALSE(),"",ROUND((0.75*INDEX('Team Ratings'!$G$2:$G$73,MATCH($G6,'Team Ratings'!$A$2:$A$73,0)))+(0.25*INDEX('Team Ratings'!$T$2:$T$73,MATCH($G6,'Team Ratings'!$A$2:$A$73,0))),3))</f>
        <v>25.85</v>
      </c>
      <c r="V6" s="16">
        <f t="array" ref="V6">IF($S6=FALSE(),"",ROUND(INDEX('Team Ratings'!$T$2:$T$73,MATCH($G6,'Team Ratings'!$A$2:$A$73,0))-INDEX('Team Ratings'!$G$2:$G$73,MATCH($G6,'Team Ratings'!$A$2:$A$73,0)),3))</f>
        <v>0.2</v>
      </c>
      <c r="W6" s="16">
        <f t="array" ref="W6">IF($S6=FALSE(),"",ROUND(INDEX('Team Ratings'!$O$2:$O$73,MATCH($G6,'Team Ratings'!$A$2:$A$73,0))-INDEX('Team Ratings'!$P$2:$P$73,MATCH($H6,'Team Ratings'!$A$2:$A$73,0)),3))</f>
        <v>1.8</v>
      </c>
      <c r="X6" s="16">
        <f t="array" ref="X6">IF($S6=FALSE(),"",ROUND(INDEX('Team Ratings'!$K$2:$K$73,MATCH($G6,'Team Ratings'!$A$2:$A$73,0))-INDEX('Team Ratings'!$J$2:$J$73,MATCH($H6,'Team Ratings'!$A$2:$A$73,0)),3))</f>
        <v>1.5</v>
      </c>
      <c r="Y6" s="16">
        <f t="array" ref="Y6">IF($S6=FALSE(),"",ROUND(MAX(0,MIN(10,5+((INDEX('Team Ratings'!$L$2:$L$73,MATCH($G6,'Team Ratings'!$A$2:$A$73,0))-INDEX('Team Ratings'!$M$2:$M$73,MATCH($H6,'Team Ratings'!$A$2:$A$73,0)))+(INDEX('Team Ratings'!$M$2:$M$73,MATCH($G6,'Team Ratings'!$A$2:$A$73,0))-INDEX('Team Ratings'!$L$2:$L$73,MATCH($H6,'Team Ratings'!$A$2:$A$73,0))))/2)),3))</f>
        <v>0</v>
      </c>
      <c r="Z6" s="16">
        <f t="array" ref="Z6">IF($S6=FALSE(),"",ROUND((1/I6)*4 + (INDEX('Team Ratings'!$T$2:$T$73,MATCH($G6,'Team Ratings'!$A$2:$A$73,0))/MAX('Team Ratings'!$T$2:$T$73))*4 + (1-(INDEX('Team Ratings'!$J$2:$J$73,MATCH($G6,'Team Ratings'!$A$2:$A$73,0))/MAX('Team Ratings'!$J$2:$J$73)))*2 + (INDEX('Team Ratings'!$N$2:$N$73,MATCH($G6,'Team Ratings'!$A$2:$A$73,0))/MAX('Team Ratings'!$N$2:$N$73)) + (INDEX('Team Ratings'!$M$2:$M$73,MATCH($G6,'Team Ratings'!$A$2:$A$73,0))/MAX('Team Ratings'!$M$2:$M$73)),2))</f>
        <v>5.13</v>
      </c>
      <c r="AA6" s="16">
        <f t="array" ref="AA6">IF($S6=FALSE(),"",IFERROR(INDEX('Team Ratings'!$Q$2:$Q$73,MATCH($G6,'Team Ratings'!$A$2:$A$73,0)),0))</f>
        <v>-2.5</v>
      </c>
      <c r="AB6" s="16">
        <f t="array" ref="AB6">IF($S6=FALSE(),"",ROUND((0.75*INDEX('Team Ratings'!$G$2:$G$73,MATCH($H6,'Team Ratings'!$A$2:$A$73,0)))+(0.25*INDEX('Team Ratings'!$T$2:$T$73,MATCH($H6,'Team Ratings'!$A$2:$A$73,0))),3))</f>
        <v>16.95</v>
      </c>
      <c r="AC6" s="16">
        <f t="array" ref="AC6">IF($S6=FALSE(),"",ROUND(INDEX('Team Ratings'!$T$2:$T$73,MATCH($H6,'Team Ratings'!$A$2:$A$73,0))-INDEX('Team Ratings'!$G$2:$G$73,MATCH($H6,'Team Ratings'!$A$2:$A$73,0)),3))</f>
        <v>6.2</v>
      </c>
      <c r="AD6" s="16">
        <f t="array" ref="AD6">IF($S6=FALSE(),"",ROUND(INDEX('Team Ratings'!$O$2:$O$73,MATCH($H6,'Team Ratings'!$A$2:$A$73,0))-INDEX('Team Ratings'!$P$2:$P$73,MATCH($G6,'Team Ratings'!$A$2:$A$73,0)),3))</f>
        <v>0.4</v>
      </c>
      <c r="AE6" s="16">
        <f t="array" ref="AE6">IF($S6=FALSE(),"",ROUND(INDEX('Team Ratings'!$K$2:$K$73,MATCH($H6,'Team Ratings'!$A$2:$A$73,0))-INDEX('Team Ratings'!$J$2:$J$73,MATCH($G6,'Team Ratings'!$A$2:$A$73,0)),3))</f>
        <v>2.4</v>
      </c>
      <c r="AF6" s="16">
        <f t="array" ref="AF6">IF($S6=FALSE(),"",ROUND(MAX(0,MIN(10,5+((INDEX('Team Ratings'!$L$2:$L$73,MATCH($H6,'Team Ratings'!$A$2:$A$73,0))-INDEX('Team Ratings'!$M$2:$M$73,MATCH($G6,'Team Ratings'!$A$2:$A$73,0)))+(INDEX('Team Ratings'!$M$2:$M$73,MATCH($H6,'Team Ratings'!$A$2:$A$73,0))-INDEX('Team Ratings'!$L$2:$L$73,MATCH($G6,'Team Ratings'!$A$2:$A$73,0))))/2)),3))</f>
        <v>10</v>
      </c>
      <c r="AG6" s="16">
        <f t="array" ref="AG6">IF($S6=FALSE(),"",ROUND((1/J6)*4 + (INDEX('Team Ratings'!$T$2:$T$73,MATCH($H6,'Team Ratings'!$A$2:$A$73,0))/MAX('Team Ratings'!$T$2:$T$73))*4 + (1-(INDEX('Team Ratings'!$J$2:$J$73,MATCH($H6,'Team Ratings'!$A$2:$A$73,0))/MAX('Team Ratings'!$J$2:$J$73)))*2 + (INDEX('Team Ratings'!$N$2:$N$73,MATCH($H6,'Team Ratings'!$A$2:$A$73,0))/MAX('Team Ratings'!$N$2:$N$73)) + (INDEX('Team Ratings'!$M$2:$M$73,MATCH($H6,'Team Ratings'!$A$2:$A$73,0))/MAX('Team Ratings'!$M$2:$M$73)),2))</f>
        <v>4.8099999999999996</v>
      </c>
      <c r="AH6" s="16">
        <f t="array" ref="AH6">IF($S6=FALSE(),"",IFERROR(INDEX('Team Ratings'!$Q$2:$Q$73,MATCH($H6,'Team Ratings'!$A$2:$A$73,0)),0))</f>
        <v>0</v>
      </c>
      <c r="AI6" s="10" t="b">
        <f t="shared" si="6"/>
        <v>1</v>
      </c>
      <c r="AJ6" s="10"/>
      <c r="AK6" s="10" t="str">
        <f t="shared" si="7"/>
        <v>South Florida</v>
      </c>
      <c r="AL6" s="10">
        <v>9</v>
      </c>
    </row>
    <row r="7" spans="1:38" ht="20" customHeight="1" x14ac:dyDescent="0.2">
      <c r="A7" s="14" t="s">
        <v>139</v>
      </c>
      <c r="B7" s="14" t="s">
        <v>201</v>
      </c>
      <c r="C7" s="5">
        <f>_xlfn.SWITCH(B7,
 "Round 1",1,
 "Round 2",2,
 "Sweet 16",3,
 "Elite 8",4,
 "Final Four",5,
 "Championship",6
)*100
+
COUNTIF($B$2:B7,B7)</f>
        <v>106</v>
      </c>
      <c r="D7" s="5" t="s">
        <v>22</v>
      </c>
      <c r="E7" s="5"/>
      <c r="F7" s="5"/>
      <c r="G7" s="5" t="s">
        <v>36</v>
      </c>
      <c r="H7" s="5" t="s">
        <v>25</v>
      </c>
      <c r="I7" s="15">
        <f t="array" ref="I7">IFERROR(INDEX('Team Ratings'!$B$2:$B$73,MATCH($G7,'Team Ratings'!$A$2:$A$73,0)),"")</f>
        <v>14</v>
      </c>
      <c r="J7" s="15">
        <f t="array" ref="J7">IFERROR(INDEX('Team Ratings'!$B$2:$B$73,MATCH($H7,'Team Ratings'!$A$2:$A$73,0)),"")</f>
        <v>3</v>
      </c>
      <c r="K7" s="12">
        <f>IF($S7=FALSE(),"",ROUND((0.35*IFERROR((U7-AVERAGE('Team Metrics'!$X$2:$X$65))/_xlfn.STDEV.P('Team Metrics'!$X$2:$X$65),0)) + (0.2*IFERROR((V7-AVERAGE('Team Metrics'!$W$2:$W$65))/_xlfn.STDEV.P('Team Metrics'!$W$2:$W$65),0)) + (0.15*IFERROR((W7-AVERAGE('Team Metrics'!$Y$2:$Y$65))/_xlfn.STDEV.P('Team Metrics'!$Y$2:$Y$65),0)) + (0.1*IFERROR((X7-AVERAGE('Team Metrics'!$Z$2:$Z$65))/_xlfn.STDEV.P('Team Metrics'!$Z$2:$Z$65),0)) + (0.1*IFERROR((Y7-AVERAGE('Team Metrics'!$AA$2:$AA$65))/_xlfn.STDEV.P('Team Metrics'!$AA$2:$AA$65),0)) + (0.05*IFERROR((Z7-AVERAGE('Team Metrics'!$AB$2:$AB$65))/_xlfn.STDEV.P('Team Metrics'!$AB$2:$AB$65),0)) + (0.05*IFERROR((AA7-AVERAGE('Team Metrics'!$S$2:$S$65))/IF(_xlfn.STDEV.P('Team Metrics'!$S$2:$S$65)=0,1,_xlfn.STDEV.P('Team Metrics'!$S$2:$S$65)),0)),4))</f>
        <v>-0.2102</v>
      </c>
      <c r="L7" s="12">
        <f>IF($S7=FALSE(),"",ROUND((0.35*IFERROR((AB7-AVERAGE('Team Metrics'!$X$2:$X$65))/_xlfn.STDEV.P('Team Metrics'!$X$2:$X$65),0)) + (0.2*IFERROR((AC7-AVERAGE('Team Metrics'!$W$2:$W$65))/_xlfn.STDEV.P('Team Metrics'!$W$2:$W$65),0)) + (0.15*IFERROR((AD7-AVERAGE('Team Metrics'!$Y$2:$Y$65))/_xlfn.STDEV.P('Team Metrics'!$Y$2:$Y$65),0)) + (0.1*IFERROR((AE7-AVERAGE('Team Metrics'!$Z$2:$Z$65))/_xlfn.STDEV.P('Team Metrics'!$Z$2:$Z$65),0)) + (0.1*IFERROR((AF7-AVERAGE('Team Metrics'!$AA$2:$AA$65))/_xlfn.STDEV.P('Team Metrics'!$AA$2:$AA$65),0)) + (0.05*IFERROR((AG7-AVERAGE('Team Metrics'!$AB$2:$AB$65))/_xlfn.STDEV.P('Team Metrics'!$AB$2:$AB$65),0)) + (0.05*IFERROR((AH7-AVERAGE('Team Metrics'!$S$2:$S$65))/IF(_xlfn.STDEV.P('Team Metrics'!$S$2:$S$65)=0,1,_xlfn.STDEV.P('Team Metrics'!$S$2:$S$65)),0)),4))</f>
        <v>0.22389999999999999</v>
      </c>
      <c r="M7" s="12">
        <f t="shared" si="0"/>
        <v>-0.43409999999999999</v>
      </c>
      <c r="N7" s="10" t="str">
        <f t="shared" si="1"/>
        <v>Michigan St.</v>
      </c>
      <c r="O7" s="7">
        <f t="shared" si="2"/>
        <v>55.2</v>
      </c>
      <c r="P7" s="5" t="str">
        <f t="shared" si="3"/>
        <v/>
      </c>
      <c r="Q7" s="5" t="s">
        <v>140</v>
      </c>
      <c r="R7" s="5" t="s">
        <v>132</v>
      </c>
      <c r="S7" s="10" t="b">
        <f t="shared" si="4"/>
        <v>1</v>
      </c>
      <c r="T7" s="5" t="str">
        <f t="shared" si="5"/>
        <v>ΔComposite=0.43; AdjNET Δ=-19.3; 3PT Δ=0.4; TO Δ=2.4; REB Δ=-1.8</v>
      </c>
      <c r="U7" s="16">
        <f t="array" ref="U7">IF($S7=FALSE(),"",ROUND((0.75*INDEX('Team Ratings'!$G$2:$G$73,MATCH($G7,'Team Ratings'!$A$2:$A$73,0)))+(0.25*INDEX('Team Ratings'!$T$2:$T$73,MATCH($G7,'Team Ratings'!$A$2:$A$73,0))),3))</f>
        <v>7.35</v>
      </c>
      <c r="V7" s="16">
        <f t="array" ref="V7">IF($S7=FALSE(),"",ROUND(INDEX('Team Ratings'!$T$2:$T$73,MATCH($G7,'Team Ratings'!$A$2:$A$73,0))-INDEX('Team Ratings'!$G$2:$G$73,MATCH($G7,'Team Ratings'!$A$2:$A$73,0)),3))</f>
        <v>7.8</v>
      </c>
      <c r="W7" s="16">
        <f t="array" ref="W7">IF($S7=FALSE(),"",ROUND(INDEX('Team Ratings'!$O$2:$O$73,MATCH($G7,'Team Ratings'!$A$2:$A$73,0))-INDEX('Team Ratings'!$P$2:$P$73,MATCH($H7,'Team Ratings'!$A$2:$A$73,0)),3))</f>
        <v>2.8</v>
      </c>
      <c r="X7" s="16">
        <f t="array" ref="X7">IF($S7=FALSE(),"",ROUND(INDEX('Team Ratings'!$K$2:$K$73,MATCH($G7,'Team Ratings'!$A$2:$A$73,0))-INDEX('Team Ratings'!$J$2:$J$73,MATCH($H7,'Team Ratings'!$A$2:$A$73,0)),3))</f>
        <v>1.6</v>
      </c>
      <c r="Y7" s="16">
        <f t="array" ref="Y7">IF($S7=FALSE(),"",ROUND(MAX(0,MIN(10,5+((INDEX('Team Ratings'!$L$2:$L$73,MATCH($G7,'Team Ratings'!$A$2:$A$73,0))-INDEX('Team Ratings'!$M$2:$M$73,MATCH($H7,'Team Ratings'!$A$2:$A$73,0)))+(INDEX('Team Ratings'!$M$2:$M$73,MATCH($G7,'Team Ratings'!$A$2:$A$73,0))-INDEX('Team Ratings'!$L$2:$L$73,MATCH($H7,'Team Ratings'!$A$2:$A$73,0))))/2)),3))</f>
        <v>4.0999999999999996</v>
      </c>
      <c r="Z7" s="16">
        <f t="array" ref="Z7">IF($S7=FALSE(),"",ROUND((1/I7)*4 + (INDEX('Team Ratings'!$T$2:$T$73,MATCH($G7,'Team Ratings'!$A$2:$A$73,0))/MAX('Team Ratings'!$T$2:$T$73))*4 + (1-(INDEX('Team Ratings'!$J$2:$J$73,MATCH($G7,'Team Ratings'!$A$2:$A$73,0))/MAX('Team Ratings'!$J$2:$J$73)))*2 + (INDEX('Team Ratings'!$N$2:$N$73,MATCH($G7,'Team Ratings'!$A$2:$A$73,0))/MAX('Team Ratings'!$N$2:$N$73)) + (INDEX('Team Ratings'!$M$2:$M$73,MATCH($G7,'Team Ratings'!$A$2:$A$73,0))/MAX('Team Ratings'!$M$2:$M$73)),2))</f>
        <v>3.44</v>
      </c>
      <c r="AA7" s="16">
        <f t="array" ref="AA7">IF($S7=FALSE(),"",IFERROR(INDEX('Team Ratings'!$Q$2:$Q$73,MATCH($G7,'Team Ratings'!$A$2:$A$73,0)),0))</f>
        <v>0</v>
      </c>
      <c r="AB7" s="16">
        <f t="array" ref="AB7">IF($S7=FALSE(),"",ROUND((0.75*INDEX('Team Ratings'!$G$2:$G$73,MATCH($H7,'Team Ratings'!$A$2:$A$73,0)))+(0.25*INDEX('Team Ratings'!$T$2:$T$73,MATCH($H7,'Team Ratings'!$A$2:$A$73,0))),3))</f>
        <v>26.625</v>
      </c>
      <c r="AC7" s="16">
        <f t="array" ref="AC7">IF($S7=FALSE(),"",ROUND(INDEX('Team Ratings'!$T$2:$T$73,MATCH($H7,'Team Ratings'!$A$2:$A$73,0))-INDEX('Team Ratings'!$G$2:$G$73,MATCH($H7,'Team Ratings'!$A$2:$A$73,0)),3))</f>
        <v>-0.3</v>
      </c>
      <c r="AD7" s="16">
        <f t="array" ref="AD7">IF($S7=FALSE(),"",ROUND(INDEX('Team Ratings'!$O$2:$O$73,MATCH($H7,'Team Ratings'!$A$2:$A$73,0))-INDEX('Team Ratings'!$P$2:$P$73,MATCH($G7,'Team Ratings'!$A$2:$A$73,0)),3))</f>
        <v>2.4</v>
      </c>
      <c r="AE7" s="16">
        <f t="array" ref="AE7">IF($S7=FALSE(),"",ROUND(INDEX('Team Ratings'!$K$2:$K$73,MATCH($H7,'Team Ratings'!$A$2:$A$73,0))-INDEX('Team Ratings'!$J$2:$J$73,MATCH($G7,'Team Ratings'!$A$2:$A$73,0)),3))</f>
        <v>-0.8</v>
      </c>
      <c r="AF7" s="16">
        <f t="array" ref="AF7">IF($S7=FALSE(),"",ROUND(MAX(0,MIN(10,5+((INDEX('Team Ratings'!$L$2:$L$73,MATCH($H7,'Team Ratings'!$A$2:$A$73,0))-INDEX('Team Ratings'!$M$2:$M$73,MATCH($G7,'Team Ratings'!$A$2:$A$73,0)))+(INDEX('Team Ratings'!$M$2:$M$73,MATCH($H7,'Team Ratings'!$A$2:$A$73,0))-INDEX('Team Ratings'!$L$2:$L$73,MATCH($G7,'Team Ratings'!$A$2:$A$73,0))))/2)),3))</f>
        <v>5.9</v>
      </c>
      <c r="AG7" s="16">
        <f t="array" ref="AG7">IF($S7=FALSE(),"",ROUND((1/J7)*4 + (INDEX('Team Ratings'!$T$2:$T$73,MATCH($H7,'Team Ratings'!$A$2:$A$73,0))/MAX('Team Ratings'!$T$2:$T$73))*4 + (1-(INDEX('Team Ratings'!$J$2:$J$73,MATCH($H7,'Team Ratings'!$A$2:$A$73,0))/MAX('Team Ratings'!$J$2:$J$73)))*2 + (INDEX('Team Ratings'!$N$2:$N$73,MATCH($H7,'Team Ratings'!$A$2:$A$73,0))/MAX('Team Ratings'!$N$2:$N$73)) + (INDEX('Team Ratings'!$M$2:$M$73,MATCH($H7,'Team Ratings'!$A$2:$A$73,0))/MAX('Team Ratings'!$M$2:$M$73)),2))</f>
        <v>5.7</v>
      </c>
      <c r="AH7" s="16">
        <f t="array" ref="AH7">IF($S7=FALSE(),"",IFERROR(INDEX('Team Ratings'!$Q$2:$Q$73,MATCH($H7,'Team Ratings'!$A$2:$A$73,0)),0))</f>
        <v>0</v>
      </c>
      <c r="AI7" s="10" t="b">
        <f t="shared" si="6"/>
        <v>1</v>
      </c>
      <c r="AJ7" s="10"/>
      <c r="AK7" s="10" t="str">
        <f t="shared" si="7"/>
        <v>Michigan St.</v>
      </c>
      <c r="AL7" s="10">
        <v>9</v>
      </c>
    </row>
    <row r="8" spans="1:38" ht="20" customHeight="1" x14ac:dyDescent="0.2">
      <c r="A8" s="14" t="s">
        <v>163</v>
      </c>
      <c r="B8" s="14" t="s">
        <v>201</v>
      </c>
      <c r="C8" s="5">
        <f>_xlfn.SWITCH(B8,
 "Round 1",1,
 "Round 2",2,
 "Sweet 16",3,
 "Elite 8",4,
 "Final Four",5,
 "Championship",6
)*100
+
COUNTIF($B$2:B8,B8)</f>
        <v>107</v>
      </c>
      <c r="D8" s="5" t="s">
        <v>22</v>
      </c>
      <c r="E8" s="5"/>
      <c r="F8" s="5"/>
      <c r="G8" s="5" t="s">
        <v>29</v>
      </c>
      <c r="H8" s="5" t="s">
        <v>32</v>
      </c>
      <c r="I8" s="15">
        <f t="array" ref="I8">IFERROR(INDEX('Team Ratings'!$B$2:$B$73,MATCH($G8,'Team Ratings'!$A$2:$A$73,0)),"")</f>
        <v>7</v>
      </c>
      <c r="J8" s="15">
        <f t="array" ref="J8">IFERROR(INDEX('Team Ratings'!$B$2:$B$73,MATCH($H8,'Team Ratings'!$A$2:$A$73,0)),"")</f>
        <v>10</v>
      </c>
      <c r="K8" s="12">
        <f>IF($S8=FALSE(),"",ROUND((0.35*IFERROR((U8-AVERAGE('Team Metrics'!$X$2:$X$65))/_xlfn.STDEV.P('Team Metrics'!$X$2:$X$65),0)) + (0.2*IFERROR((V8-AVERAGE('Team Metrics'!$W$2:$W$65))/_xlfn.STDEV.P('Team Metrics'!$W$2:$W$65),0)) + (0.15*IFERROR((W8-AVERAGE('Team Metrics'!$Y$2:$Y$65))/_xlfn.STDEV.P('Team Metrics'!$Y$2:$Y$65),0)) + (0.1*IFERROR((X8-AVERAGE('Team Metrics'!$Z$2:$Z$65))/_xlfn.STDEV.P('Team Metrics'!$Z$2:$Z$65),0)) + (0.1*IFERROR((Y8-AVERAGE('Team Metrics'!$AA$2:$AA$65))/_xlfn.STDEV.P('Team Metrics'!$AA$2:$AA$65),0)) + (0.05*IFERROR((Z8-AVERAGE('Team Metrics'!$AB$2:$AB$65))/_xlfn.STDEV.P('Team Metrics'!$AB$2:$AB$65),0)) + (0.05*IFERROR((AA8-AVERAGE('Team Metrics'!$S$2:$S$65))/IF(_xlfn.STDEV.P('Team Metrics'!$S$2:$S$65)=0,1,_xlfn.STDEV.P('Team Metrics'!$S$2:$S$65)),0)),4))</f>
        <v>0.70189999999999997</v>
      </c>
      <c r="L8" s="12">
        <f>IF($S8=FALSE(),"",ROUND((0.35*IFERROR((AB8-AVERAGE('Team Metrics'!$X$2:$X$65))/_xlfn.STDEV.P('Team Metrics'!$X$2:$X$65),0)) + (0.2*IFERROR((AC8-AVERAGE('Team Metrics'!$W$2:$W$65))/_xlfn.STDEV.P('Team Metrics'!$W$2:$W$65),0)) + (0.15*IFERROR((AD8-AVERAGE('Team Metrics'!$Y$2:$Y$65))/_xlfn.STDEV.P('Team Metrics'!$Y$2:$Y$65),0)) + (0.1*IFERROR((AE8-AVERAGE('Team Metrics'!$Z$2:$Z$65))/_xlfn.STDEV.P('Team Metrics'!$Z$2:$Z$65),0)) + (0.1*IFERROR((AF8-AVERAGE('Team Metrics'!$AA$2:$AA$65))/_xlfn.STDEV.P('Team Metrics'!$AA$2:$AA$65),0)) + (0.05*IFERROR((AG8-AVERAGE('Team Metrics'!$AB$2:$AB$65))/_xlfn.STDEV.P('Team Metrics'!$AB$2:$AB$65),0)) + (0.05*IFERROR((AH8-AVERAGE('Team Metrics'!$S$2:$S$65))/IF(_xlfn.STDEV.P('Team Metrics'!$S$2:$S$65)=0,1,_xlfn.STDEV.P('Team Metrics'!$S$2:$S$65)),0)),4))</f>
        <v>-0.45179999999999998</v>
      </c>
      <c r="M8" s="12">
        <f t="shared" si="0"/>
        <v>1.1536999999999999</v>
      </c>
      <c r="N8" s="10" t="str">
        <f t="shared" si="1"/>
        <v>UCLA</v>
      </c>
      <c r="O8" s="7">
        <f t="shared" si="2"/>
        <v>63.8</v>
      </c>
      <c r="P8" s="5" t="str">
        <f t="shared" si="3"/>
        <v/>
      </c>
      <c r="Q8" s="5" t="s">
        <v>131</v>
      </c>
      <c r="R8" s="5" t="s">
        <v>123</v>
      </c>
      <c r="S8" s="10" t="b">
        <f t="shared" si="4"/>
        <v>1</v>
      </c>
      <c r="T8" s="5" t="str">
        <f t="shared" si="5"/>
        <v>ΔComposite=1.15; AdjNET Δ=15; 3PT Δ=-0.2; TO Δ=0; REB Δ=0.6</v>
      </c>
      <c r="U8" s="16">
        <f t="array" ref="U8">IF($S8=FALSE(),"",ROUND((0.75*INDEX('Team Ratings'!$G$2:$G$73,MATCH($G8,'Team Ratings'!$A$2:$A$73,0)))+(0.25*INDEX('Team Ratings'!$T$2:$T$73,MATCH($G8,'Team Ratings'!$A$2:$A$73,0))),3))</f>
        <v>26.35</v>
      </c>
      <c r="V8" s="16">
        <f t="array" ref="V8">IF($S8=FALSE(),"",ROUND(INDEX('Team Ratings'!$T$2:$T$73,MATCH($G8,'Team Ratings'!$A$2:$A$73,0))-INDEX('Team Ratings'!$G$2:$G$73,MATCH($G8,'Team Ratings'!$A$2:$A$73,0)),3))</f>
        <v>14.2</v>
      </c>
      <c r="W8" s="16">
        <f t="array" ref="W8">IF($S8=FALSE(),"",ROUND(INDEX('Team Ratings'!$O$2:$O$73,MATCH($G8,'Team Ratings'!$A$2:$A$73,0))-INDEX('Team Ratings'!$P$2:$P$73,MATCH($H8,'Team Ratings'!$A$2:$A$73,0)),3))</f>
        <v>4.2</v>
      </c>
      <c r="X8" s="16">
        <f t="array" ref="X8">IF($S8=FALSE(),"",ROUND(INDEX('Team Ratings'!$K$2:$K$73,MATCH($G8,'Team Ratings'!$A$2:$A$73,0))-INDEX('Team Ratings'!$J$2:$J$73,MATCH($H8,'Team Ratings'!$A$2:$A$73,0)),3))</f>
        <v>2.4</v>
      </c>
      <c r="Y8" s="16">
        <f t="array" ref="Y8">IF($S8=FALSE(),"",ROUND(MAX(0,MIN(10,5+((INDEX('Team Ratings'!$L$2:$L$73,MATCH($G8,'Team Ratings'!$A$2:$A$73,0))-INDEX('Team Ratings'!$M$2:$M$73,MATCH($H8,'Team Ratings'!$A$2:$A$73,0)))+(INDEX('Team Ratings'!$M$2:$M$73,MATCH($G8,'Team Ratings'!$A$2:$A$73,0))-INDEX('Team Ratings'!$L$2:$L$73,MATCH($H8,'Team Ratings'!$A$2:$A$73,0))))/2)),3))</f>
        <v>5.3</v>
      </c>
      <c r="Z8" s="16">
        <f t="array" ref="Z8">IF($S8=FALSE(),"",ROUND((1/I8)*4 + (INDEX('Team Ratings'!$T$2:$T$73,MATCH($G8,'Team Ratings'!$A$2:$A$73,0))/MAX('Team Ratings'!$T$2:$T$73))*4 + (1-(INDEX('Team Ratings'!$J$2:$J$73,MATCH($G8,'Team Ratings'!$A$2:$A$73,0))/MAX('Team Ratings'!$J$2:$J$73)))*2 + (INDEX('Team Ratings'!$N$2:$N$73,MATCH($G8,'Team Ratings'!$A$2:$A$73,0))/MAX('Team Ratings'!$N$2:$N$73)) + (INDEX('Team Ratings'!$M$2:$M$73,MATCH($G8,'Team Ratings'!$A$2:$A$73,0))/MAX('Team Ratings'!$M$2:$M$73)),2))</f>
        <v>6.6</v>
      </c>
      <c r="AA8" s="16">
        <f t="array" ref="AA8">IF($S8=FALSE(),"",IFERROR(INDEX('Team Ratings'!$Q$2:$Q$73,MATCH($G8,'Team Ratings'!$A$2:$A$73,0)),0))</f>
        <v>-1</v>
      </c>
      <c r="AB8" s="16">
        <f t="array" ref="AB8">IF($S8=FALSE(),"",ROUND((0.75*INDEX('Team Ratings'!$G$2:$G$73,MATCH($H8,'Team Ratings'!$A$2:$A$73,0)))+(0.25*INDEX('Team Ratings'!$T$2:$T$73,MATCH($H8,'Team Ratings'!$A$2:$A$73,0))),3))</f>
        <v>11.4</v>
      </c>
      <c r="AC8" s="16">
        <f t="array" ref="AC8">IF($S8=FALSE(),"",ROUND(INDEX('Team Ratings'!$T$2:$T$73,MATCH($H8,'Team Ratings'!$A$2:$A$73,0))-INDEX('Team Ratings'!$G$2:$G$73,MATCH($H8,'Team Ratings'!$A$2:$A$73,0)),3))</f>
        <v>-11.6</v>
      </c>
      <c r="AD8" s="16">
        <f t="array" ref="AD8">IF($S8=FALSE(),"",ROUND(INDEX('Team Ratings'!$O$2:$O$73,MATCH($H8,'Team Ratings'!$A$2:$A$73,0))-INDEX('Team Ratings'!$P$2:$P$73,MATCH($G8,'Team Ratings'!$A$2:$A$73,0)),3))</f>
        <v>4.4000000000000004</v>
      </c>
      <c r="AE8" s="16">
        <f t="array" ref="AE8">IF($S8=FALSE(),"",ROUND(INDEX('Team Ratings'!$K$2:$K$73,MATCH($H8,'Team Ratings'!$A$2:$A$73,0))-INDEX('Team Ratings'!$J$2:$J$73,MATCH($G8,'Team Ratings'!$A$2:$A$73,0)),3))</f>
        <v>2.4</v>
      </c>
      <c r="AF8" s="16">
        <f t="array" ref="AF8">IF($S8=FALSE(),"",ROUND(MAX(0,MIN(10,5+((INDEX('Team Ratings'!$L$2:$L$73,MATCH($H8,'Team Ratings'!$A$2:$A$73,0))-INDEX('Team Ratings'!$M$2:$M$73,MATCH($G8,'Team Ratings'!$A$2:$A$73,0)))+(INDEX('Team Ratings'!$M$2:$M$73,MATCH($H8,'Team Ratings'!$A$2:$A$73,0))-INDEX('Team Ratings'!$L$2:$L$73,MATCH($G8,'Team Ratings'!$A$2:$A$73,0))))/2)),3))</f>
        <v>4.7</v>
      </c>
      <c r="AG8" s="16">
        <f t="array" ref="AG8">IF($S8=FALSE(),"",ROUND((1/J8)*4 + (INDEX('Team Ratings'!$T$2:$T$73,MATCH($H8,'Team Ratings'!$A$2:$A$73,0))/MAX('Team Ratings'!$T$2:$T$73))*4 + (1-(INDEX('Team Ratings'!$J$2:$J$73,MATCH($H8,'Team Ratings'!$A$2:$A$73,0))/MAX('Team Ratings'!$J$2:$J$73)))*2 + (INDEX('Team Ratings'!$N$2:$N$73,MATCH($H8,'Team Ratings'!$A$2:$A$73,0))/MAX('Team Ratings'!$N$2:$N$73)) + (INDEX('Team Ratings'!$M$2:$M$73,MATCH($H8,'Team Ratings'!$A$2:$A$73,0))/MAX('Team Ratings'!$M$2:$M$73)),2))</f>
        <v>2.57</v>
      </c>
      <c r="AH8" s="16">
        <f t="array" ref="AH8">IF($S8=FALSE(),"",IFERROR(INDEX('Team Ratings'!$Q$2:$Q$73,MATCH($H8,'Team Ratings'!$A$2:$A$73,0)),0))</f>
        <v>-0.5</v>
      </c>
      <c r="AI8" s="10" t="b">
        <f t="shared" si="6"/>
        <v>1</v>
      </c>
      <c r="AJ8" s="10"/>
      <c r="AK8" s="10" t="str">
        <f t="shared" si="7"/>
        <v>UCLA</v>
      </c>
      <c r="AL8" s="10">
        <v>9</v>
      </c>
    </row>
    <row r="9" spans="1:38" ht="20" customHeight="1" x14ac:dyDescent="0.2">
      <c r="A9" s="14" t="s">
        <v>130</v>
      </c>
      <c r="B9" s="14" t="s">
        <v>201</v>
      </c>
      <c r="C9" s="5">
        <f>_xlfn.SWITCH(B9,
 "Round 1",1,
 "Round 2",2,
 "Sweet 16",3,
 "Elite 8",4,
 "Final Four",5,
 "Championship",6
)*100
+
COUNTIF($B$2:B9,B9)</f>
        <v>108</v>
      </c>
      <c r="D9" s="5" t="s">
        <v>22</v>
      </c>
      <c r="E9" s="5"/>
      <c r="F9" s="5"/>
      <c r="G9" s="5" t="s">
        <v>37</v>
      </c>
      <c r="H9" s="5" t="s">
        <v>24</v>
      </c>
      <c r="I9" s="15">
        <f t="array" ref="I9">IFERROR(INDEX('Team Ratings'!$B$2:$B$73,MATCH($G9,'Team Ratings'!$A$2:$A$73,0)),"")</f>
        <v>15</v>
      </c>
      <c r="J9" s="15">
        <f t="array" ref="J9">IFERROR(INDEX('Team Ratings'!$B$2:$B$73,MATCH($H9,'Team Ratings'!$A$2:$A$73,0)),"")</f>
        <v>2</v>
      </c>
      <c r="K9" s="12">
        <f>IF($S9=FALSE(),"",ROUND((0.35*IFERROR((U9-AVERAGE('Team Metrics'!$X$2:$X$65))/_xlfn.STDEV.P('Team Metrics'!$X$2:$X$65),0)) + (0.2*IFERROR((V9-AVERAGE('Team Metrics'!$W$2:$W$65))/_xlfn.STDEV.P('Team Metrics'!$W$2:$W$65),0)) + (0.15*IFERROR((W9-AVERAGE('Team Metrics'!$Y$2:$Y$65))/_xlfn.STDEV.P('Team Metrics'!$Y$2:$Y$65),0)) + (0.1*IFERROR((X9-AVERAGE('Team Metrics'!$Z$2:$Z$65))/_xlfn.STDEV.P('Team Metrics'!$Z$2:$Z$65),0)) + (0.1*IFERROR((Y9-AVERAGE('Team Metrics'!$AA$2:$AA$65))/_xlfn.STDEV.P('Team Metrics'!$AA$2:$AA$65),0)) + (0.05*IFERROR((Z9-AVERAGE('Team Metrics'!$AB$2:$AB$65))/_xlfn.STDEV.P('Team Metrics'!$AB$2:$AB$65),0)) + (0.05*IFERROR((AA9-AVERAGE('Team Metrics'!$S$2:$S$65))/IF(_xlfn.STDEV.P('Team Metrics'!$S$2:$S$65)=0,1,_xlfn.STDEV.P('Team Metrics'!$S$2:$S$65)),0)),4))</f>
        <v>-0.74939999999999996</v>
      </c>
      <c r="L9" s="12">
        <f>IF($S9=FALSE(),"",ROUND((0.35*IFERROR((AB9-AVERAGE('Team Metrics'!$X$2:$X$65))/_xlfn.STDEV.P('Team Metrics'!$X$2:$X$65),0)) + (0.2*IFERROR((AC9-AVERAGE('Team Metrics'!$W$2:$W$65))/_xlfn.STDEV.P('Team Metrics'!$W$2:$W$65),0)) + (0.15*IFERROR((AD9-AVERAGE('Team Metrics'!$Y$2:$Y$65))/_xlfn.STDEV.P('Team Metrics'!$Y$2:$Y$65),0)) + (0.1*IFERROR((AE9-AVERAGE('Team Metrics'!$Z$2:$Z$65))/_xlfn.STDEV.P('Team Metrics'!$Z$2:$Z$65),0)) + (0.1*IFERROR((AF9-AVERAGE('Team Metrics'!$AA$2:$AA$65))/_xlfn.STDEV.P('Team Metrics'!$AA$2:$AA$65),0)) + (0.05*IFERROR((AG9-AVERAGE('Team Metrics'!$AB$2:$AB$65))/_xlfn.STDEV.P('Team Metrics'!$AB$2:$AB$65),0)) + (0.05*IFERROR((AH9-AVERAGE('Team Metrics'!$S$2:$S$65))/IF(_xlfn.STDEV.P('Team Metrics'!$S$2:$S$65)=0,1,_xlfn.STDEV.P('Team Metrics'!$S$2:$S$65)),0)),4))</f>
        <v>0.1263</v>
      </c>
      <c r="M9" s="12">
        <f t="shared" si="0"/>
        <v>-0.87570000000000003</v>
      </c>
      <c r="N9" s="10" t="str">
        <f t="shared" si="1"/>
        <v>Connecticut</v>
      </c>
      <c r="O9" s="7">
        <f t="shared" si="2"/>
        <v>60.5</v>
      </c>
      <c r="P9" s="5" t="str">
        <f t="shared" si="3"/>
        <v/>
      </c>
      <c r="Q9" s="5" t="s">
        <v>131</v>
      </c>
      <c r="R9" s="5" t="s">
        <v>132</v>
      </c>
      <c r="S9" s="10" t="b">
        <f t="shared" si="4"/>
        <v>1</v>
      </c>
      <c r="T9" s="5" t="str">
        <f t="shared" si="5"/>
        <v>ΔComposite=0.88; AdjNET Δ=-26.6; 3PT Δ=0.4; TO Δ=-3.3; REB Δ=-5.9</v>
      </c>
      <c r="U9" s="16">
        <f t="array" ref="U9">IF($S9=FALSE(),"",ROUND((0.75*INDEX('Team Ratings'!$G$2:$G$73,MATCH($G9,'Team Ratings'!$A$2:$A$73,0)))+(0.25*INDEX('Team Ratings'!$T$2:$T$73,MATCH($G9,'Team Ratings'!$A$2:$A$73,0))),3))</f>
        <v>-0.6</v>
      </c>
      <c r="V9" s="16">
        <f t="array" ref="V9">IF($S9=FALSE(),"",ROUND(INDEX('Team Ratings'!$T$2:$T$73,MATCH($G9,'Team Ratings'!$A$2:$A$73,0))-INDEX('Team Ratings'!$G$2:$G$73,MATCH($G9,'Team Ratings'!$A$2:$A$73,0)),3))</f>
        <v>6</v>
      </c>
      <c r="W9" s="16">
        <f t="array" ref="W9">IF($S9=FALSE(),"",ROUND(INDEX('Team Ratings'!$O$2:$O$73,MATCH($G9,'Team Ratings'!$A$2:$A$73,0))-INDEX('Team Ratings'!$P$2:$P$73,MATCH($H9,'Team Ratings'!$A$2:$A$73,0)),3))</f>
        <v>3</v>
      </c>
      <c r="X9" s="16">
        <f t="array" ref="X9">IF($S9=FALSE(),"",ROUND(INDEX('Team Ratings'!$K$2:$K$73,MATCH($G9,'Team Ratings'!$A$2:$A$73,0))-INDEX('Team Ratings'!$J$2:$J$73,MATCH($H9,'Team Ratings'!$A$2:$A$73,0)),3))</f>
        <v>-3.1</v>
      </c>
      <c r="Y9" s="16">
        <f t="array" ref="Y9">IF($S9=FALSE(),"",ROUND(MAX(0,MIN(10,5+((INDEX('Team Ratings'!$L$2:$L$73,MATCH($G9,'Team Ratings'!$A$2:$A$73,0))-INDEX('Team Ratings'!$M$2:$M$73,MATCH($H9,'Team Ratings'!$A$2:$A$73,0)))+(INDEX('Team Ratings'!$M$2:$M$73,MATCH($G9,'Team Ratings'!$A$2:$A$73,0))-INDEX('Team Ratings'!$L$2:$L$73,MATCH($H9,'Team Ratings'!$A$2:$A$73,0))))/2)),3))</f>
        <v>2.0499999999999998</v>
      </c>
      <c r="Z9" s="16">
        <f t="array" ref="Z9">IF($S9=FALSE(),"",ROUND((1/I9)*4 + (INDEX('Team Ratings'!$T$2:$T$73,MATCH($G9,'Team Ratings'!$A$2:$A$73,0))/MAX('Team Ratings'!$T$2:$T$73))*4 + (1-(INDEX('Team Ratings'!$J$2:$J$73,MATCH($G9,'Team Ratings'!$A$2:$A$73,0))/MAX('Team Ratings'!$J$2:$J$73)))*2 + (INDEX('Team Ratings'!$N$2:$N$73,MATCH($G9,'Team Ratings'!$A$2:$A$73,0))/MAX('Team Ratings'!$N$2:$N$73)) + (INDEX('Team Ratings'!$M$2:$M$73,MATCH($G9,'Team Ratings'!$A$2:$A$73,0))/MAX('Team Ratings'!$M$2:$M$73)),2))</f>
        <v>2.34</v>
      </c>
      <c r="AA9" s="16">
        <f t="array" ref="AA9">IF($S9=FALSE(),"",IFERROR(INDEX('Team Ratings'!$Q$2:$Q$73,MATCH($G9,'Team Ratings'!$A$2:$A$73,0)),0))</f>
        <v>0</v>
      </c>
      <c r="AB9" s="16">
        <f t="array" ref="AB9">IF($S9=FALSE(),"",ROUND((0.75*INDEX('Team Ratings'!$G$2:$G$73,MATCH($H9,'Team Ratings'!$A$2:$A$73,0)))+(0.25*INDEX('Team Ratings'!$T$2:$T$73,MATCH($H9,'Team Ratings'!$A$2:$A$73,0))),3))</f>
        <v>25.95</v>
      </c>
      <c r="AC9" s="16">
        <f t="array" ref="AC9">IF($S9=FALSE(),"",ROUND(INDEX('Team Ratings'!$T$2:$T$73,MATCH($H9,'Team Ratings'!$A$2:$A$73,0))-INDEX('Team Ratings'!$G$2:$G$73,MATCH($H9,'Team Ratings'!$A$2:$A$73,0)),3))</f>
        <v>-8.6</v>
      </c>
      <c r="AD9" s="16">
        <f t="array" ref="AD9">IF($S9=FALSE(),"",ROUND(INDEX('Team Ratings'!$O$2:$O$73,MATCH($H9,'Team Ratings'!$A$2:$A$73,0))-INDEX('Team Ratings'!$P$2:$P$73,MATCH($G9,'Team Ratings'!$A$2:$A$73,0)),3))</f>
        <v>2.6</v>
      </c>
      <c r="AE9" s="16">
        <f t="array" ref="AE9">IF($S9=FALSE(),"",ROUND(INDEX('Team Ratings'!$K$2:$K$73,MATCH($H9,'Team Ratings'!$A$2:$A$73,0))-INDEX('Team Ratings'!$J$2:$J$73,MATCH($G9,'Team Ratings'!$A$2:$A$73,0)),3))</f>
        <v>0.2</v>
      </c>
      <c r="AF9" s="16">
        <f t="array" ref="AF9">IF($S9=FALSE(),"",ROUND(MAX(0,MIN(10,5+((INDEX('Team Ratings'!$L$2:$L$73,MATCH($H9,'Team Ratings'!$A$2:$A$73,0))-INDEX('Team Ratings'!$M$2:$M$73,MATCH($G9,'Team Ratings'!$A$2:$A$73,0)))+(INDEX('Team Ratings'!$M$2:$M$73,MATCH($H9,'Team Ratings'!$A$2:$A$73,0))-INDEX('Team Ratings'!$L$2:$L$73,MATCH($G9,'Team Ratings'!$A$2:$A$73,0))))/2)),3))</f>
        <v>7.95</v>
      </c>
      <c r="AG9" s="16">
        <f t="array" ref="AG9">IF($S9=FALSE(),"",ROUND((1/J9)*4 + (INDEX('Team Ratings'!$T$2:$T$73,MATCH($H9,'Team Ratings'!$A$2:$A$73,0))/MAX('Team Ratings'!$T$2:$T$73))*4 + (1-(INDEX('Team Ratings'!$J$2:$J$73,MATCH($H9,'Team Ratings'!$A$2:$A$73,0))/MAX('Team Ratings'!$J$2:$J$73)))*2 + (INDEX('Team Ratings'!$N$2:$N$73,MATCH($H9,'Team Ratings'!$A$2:$A$73,0))/MAX('Team Ratings'!$N$2:$N$73)) + (INDEX('Team Ratings'!$M$2:$M$73,MATCH($H9,'Team Ratings'!$A$2:$A$73,0))/MAX('Team Ratings'!$M$2:$M$73)),2))</f>
        <v>5.74</v>
      </c>
      <c r="AH9" s="16">
        <f t="array" ref="AH9">IF($S9=FALSE(),"",IFERROR(INDEX('Team Ratings'!$Q$2:$Q$73,MATCH($H9,'Team Ratings'!$A$2:$A$73,0)),0))</f>
        <v>0</v>
      </c>
      <c r="AI9" s="10" t="b">
        <f t="shared" si="6"/>
        <v>1</v>
      </c>
      <c r="AJ9" s="10"/>
      <c r="AK9" s="10" t="str">
        <f t="shared" si="7"/>
        <v>Connecticut</v>
      </c>
      <c r="AL9" s="10">
        <v>9</v>
      </c>
    </row>
    <row r="10" spans="1:38" ht="20" customHeight="1" x14ac:dyDescent="0.2">
      <c r="A10" s="14" t="s">
        <v>128</v>
      </c>
      <c r="B10" s="14" t="s">
        <v>201</v>
      </c>
      <c r="C10" s="5">
        <f>_xlfn.SWITCH(B10,
 "Round 1",1,
 "Round 2",2,
 "Sweet 16",3,
 "Elite 8",4,
 "Final Four",5,
 "Championship",6
)*100
+
COUNTIF($B$2:B10,B10)</f>
        <v>109</v>
      </c>
      <c r="D10" s="5" t="s">
        <v>40</v>
      </c>
      <c r="E10" s="5"/>
      <c r="F10" s="5"/>
      <c r="G10" s="5" t="s">
        <v>39</v>
      </c>
      <c r="H10" s="5" t="s">
        <v>58</v>
      </c>
      <c r="I10" s="15">
        <f t="array" ref="I10">IFERROR(INDEX('Team Ratings'!$B$2:$B$73,MATCH($G10,'Team Ratings'!$A$2:$A$73,0)),"")</f>
        <v>1</v>
      </c>
      <c r="J10" s="15">
        <f t="array" ref="J10">IFERROR(INDEX('Team Ratings'!$B$2:$B$73,MATCH($H10,'Team Ratings'!$A$2:$A$73,0)),"")</f>
        <v>16</v>
      </c>
      <c r="K10" s="12">
        <f>IF($S10=FALSE(),"",ROUND((0.35*IFERROR((U10-AVERAGE('Team Metrics'!$X$2:$X$65))/_xlfn.STDEV.P('Team Metrics'!$X$2:$X$65),0)) + (0.2*IFERROR((V10-AVERAGE('Team Metrics'!$W$2:$W$65))/_xlfn.STDEV.P('Team Metrics'!$W$2:$W$65),0)) + (0.15*IFERROR((W10-AVERAGE('Team Metrics'!$Y$2:$Y$65))/_xlfn.STDEV.P('Team Metrics'!$Y$2:$Y$65),0)) + (0.1*IFERROR((X10-AVERAGE('Team Metrics'!$Z$2:$Z$65))/_xlfn.STDEV.P('Team Metrics'!$Z$2:$Z$65),0)) + (0.1*IFERROR((Y10-AVERAGE('Team Metrics'!$AA$2:$AA$65))/_xlfn.STDEV.P('Team Metrics'!$AA$2:$AA$65),0)) + (0.05*IFERROR((Z10-AVERAGE('Team Metrics'!$AB$2:$AB$65))/_xlfn.STDEV.P('Team Metrics'!$AB$2:$AB$65),0)) + (0.05*IFERROR((AA10-AVERAGE('Team Metrics'!$S$2:$S$65))/IF(_xlfn.STDEV.P('Team Metrics'!$S$2:$S$65)=0,1,_xlfn.STDEV.P('Team Metrics'!$S$2:$S$65)),0)),4))</f>
        <v>0.75090000000000001</v>
      </c>
      <c r="L10" s="12">
        <f>IF($S10=FALSE(),"",ROUND((0.35*IFERROR((AB10-AVERAGE('Team Metrics'!$X$2:$X$65))/_xlfn.STDEV.P('Team Metrics'!$X$2:$X$65),0)) + (0.2*IFERROR((AC10-AVERAGE('Team Metrics'!$W$2:$W$65))/_xlfn.STDEV.P('Team Metrics'!$W$2:$W$65),0)) + (0.15*IFERROR((AD10-AVERAGE('Team Metrics'!$Y$2:$Y$65))/_xlfn.STDEV.P('Team Metrics'!$Y$2:$Y$65),0)) + (0.1*IFERROR((AE10-AVERAGE('Team Metrics'!$Z$2:$Z$65))/_xlfn.STDEV.P('Team Metrics'!$Z$2:$Z$65),0)) + (0.1*IFERROR((AF10-AVERAGE('Team Metrics'!$AA$2:$AA$65))/_xlfn.STDEV.P('Team Metrics'!$AA$2:$AA$65),0)) + (0.05*IFERROR((AG10-AVERAGE('Team Metrics'!$AB$2:$AB$65))/_xlfn.STDEV.P('Team Metrics'!$AB$2:$AB$65),0)) + (0.05*IFERROR((AH10-AVERAGE('Team Metrics'!$S$2:$S$65))/IF(_xlfn.STDEV.P('Team Metrics'!$S$2:$S$65)=0,1,_xlfn.STDEV.P('Team Metrics'!$S$2:$S$65)),0)),4))</f>
        <v>-0.69520000000000004</v>
      </c>
      <c r="M10" s="12">
        <f t="shared" si="0"/>
        <v>1.4460999999999999</v>
      </c>
      <c r="N10" s="10" t="str">
        <f t="shared" si="1"/>
        <v>Arizona</v>
      </c>
      <c r="O10" s="7">
        <f t="shared" si="2"/>
        <v>67.400000000000006</v>
      </c>
      <c r="P10" s="5" t="str">
        <f t="shared" si="3"/>
        <v/>
      </c>
      <c r="Q10" s="5" t="s">
        <v>129</v>
      </c>
      <c r="R10" s="5" t="s">
        <v>123</v>
      </c>
      <c r="S10" s="10" t="b">
        <f t="shared" si="4"/>
        <v>1</v>
      </c>
      <c r="T10" s="5" t="str">
        <f t="shared" si="5"/>
        <v>ΔComposite=1.45; AdjNET Δ=43.3; 3PT Δ=-0.6; TO Δ=-6.1; REB Δ=-1.9</v>
      </c>
      <c r="U10" s="16">
        <f t="array" ref="U10">IF($S10=FALSE(),"",ROUND((0.75*INDEX('Team Ratings'!$G$2:$G$73,MATCH($G10,'Team Ratings'!$A$2:$A$73,0)))+(0.25*INDEX('Team Ratings'!$T$2:$T$73,MATCH($G10,'Team Ratings'!$A$2:$A$73,0))),3))</f>
        <v>36.524999999999999</v>
      </c>
      <c r="V10" s="16">
        <f t="array" ref="V10">IF($S10=FALSE(),"",ROUND(INDEX('Team Ratings'!$T$2:$T$73,MATCH($G10,'Team Ratings'!$A$2:$A$73,0))-INDEX('Team Ratings'!$G$2:$G$73,MATCH($G10,'Team Ratings'!$A$2:$A$73,0)),3))</f>
        <v>4.0999999999999996</v>
      </c>
      <c r="W10" s="16">
        <f t="array" ref="W10">IF($S10=FALSE(),"",ROUND(INDEX('Team Ratings'!$O$2:$O$73,MATCH($G10,'Team Ratings'!$A$2:$A$73,0))-INDEX('Team Ratings'!$P$2:$P$73,MATCH($H10,'Team Ratings'!$A$2:$A$73,0)),3))</f>
        <v>4.0999999999999996</v>
      </c>
      <c r="X10" s="16">
        <f t="array" ref="X10">IF($S10=FALSE(),"",ROUND(INDEX('Team Ratings'!$K$2:$K$73,MATCH($G10,'Team Ratings'!$A$2:$A$73,0))-INDEX('Team Ratings'!$J$2:$J$73,MATCH($H10,'Team Ratings'!$A$2:$A$73,0)),3))</f>
        <v>-2.2999999999999998</v>
      </c>
      <c r="Y10" s="16">
        <f t="array" ref="Y10">IF($S10=FALSE(),"",ROUND(MAX(0,MIN(10,5+((INDEX('Team Ratings'!$L$2:$L$73,MATCH($G10,'Team Ratings'!$A$2:$A$73,0))-INDEX('Team Ratings'!$M$2:$M$73,MATCH($H10,'Team Ratings'!$A$2:$A$73,0)))+(INDEX('Team Ratings'!$M$2:$M$73,MATCH($G10,'Team Ratings'!$A$2:$A$73,0))-INDEX('Team Ratings'!$L$2:$L$73,MATCH($H10,'Team Ratings'!$A$2:$A$73,0))))/2)),3))</f>
        <v>4.05</v>
      </c>
      <c r="Z10" s="16">
        <f t="array" ref="Z10">IF($S10=FALSE(),"",ROUND((1/I10)*4 + (INDEX('Team Ratings'!$T$2:$T$73,MATCH($G10,'Team Ratings'!$A$2:$A$73,0))/MAX('Team Ratings'!$T$2:$T$73))*4 + (1-(INDEX('Team Ratings'!$J$2:$J$73,MATCH($G10,'Team Ratings'!$A$2:$A$73,0))/MAX('Team Ratings'!$J$2:$J$73)))*2 + (INDEX('Team Ratings'!$N$2:$N$73,MATCH($G10,'Team Ratings'!$A$2:$A$73,0))/MAX('Team Ratings'!$N$2:$N$73)) + (INDEX('Team Ratings'!$M$2:$M$73,MATCH($G10,'Team Ratings'!$A$2:$A$73,0))/MAX('Team Ratings'!$M$2:$M$73)),2))</f>
        <v>10.17</v>
      </c>
      <c r="AA10" s="16">
        <f t="array" ref="AA10">IF($S10=FALSE(),"",IFERROR(INDEX('Team Ratings'!$Q$2:$Q$73,MATCH($G10,'Team Ratings'!$A$2:$A$73,0)),0))</f>
        <v>0</v>
      </c>
      <c r="AB10" s="16">
        <f t="array" ref="AB10">IF($S10=FALSE(),"",ROUND((0.75*INDEX('Team Ratings'!$G$2:$G$73,MATCH($H10,'Team Ratings'!$A$2:$A$73,0)))+(0.25*INDEX('Team Ratings'!$T$2:$T$73,MATCH($H10,'Team Ratings'!$A$2:$A$73,0))),3))</f>
        <v>-6.7750000000000004</v>
      </c>
      <c r="AC10" s="16">
        <f t="array" ref="AC10">IF($S10=FALSE(),"",ROUND(INDEX('Team Ratings'!$T$2:$T$73,MATCH($H10,'Team Ratings'!$A$2:$A$73,0))-INDEX('Team Ratings'!$G$2:$G$73,MATCH($H10,'Team Ratings'!$A$2:$A$73,0)),3))</f>
        <v>-2.2999999999999998</v>
      </c>
      <c r="AD10" s="16">
        <f t="array" ref="AD10">IF($S10=FALSE(),"",ROUND(INDEX('Team Ratings'!$O$2:$O$73,MATCH($H10,'Team Ratings'!$A$2:$A$73,0))-INDEX('Team Ratings'!$P$2:$P$73,MATCH($G10,'Team Ratings'!$A$2:$A$73,0)),3))</f>
        <v>4.7</v>
      </c>
      <c r="AE10" s="16">
        <f t="array" ref="AE10">IF($S10=FALSE(),"",ROUND(INDEX('Team Ratings'!$K$2:$K$73,MATCH($H10,'Team Ratings'!$A$2:$A$73,0))-INDEX('Team Ratings'!$J$2:$J$73,MATCH($G10,'Team Ratings'!$A$2:$A$73,0)),3))</f>
        <v>3.8</v>
      </c>
      <c r="AF10" s="16">
        <f t="array" ref="AF10">IF($S10=FALSE(),"",ROUND(MAX(0,MIN(10,5+((INDEX('Team Ratings'!$L$2:$L$73,MATCH($H10,'Team Ratings'!$A$2:$A$73,0))-INDEX('Team Ratings'!$M$2:$M$73,MATCH($G10,'Team Ratings'!$A$2:$A$73,0)))+(INDEX('Team Ratings'!$M$2:$M$73,MATCH($H10,'Team Ratings'!$A$2:$A$73,0))-INDEX('Team Ratings'!$L$2:$L$73,MATCH($G10,'Team Ratings'!$A$2:$A$73,0))))/2)),3))</f>
        <v>5.95</v>
      </c>
      <c r="AG10" s="16">
        <f t="array" ref="AG10">IF($S10=FALSE(),"",ROUND((1/J10)*4 + (INDEX('Team Ratings'!$T$2:$T$73,MATCH($H10,'Team Ratings'!$A$2:$A$73,0))/MAX('Team Ratings'!$T$2:$T$73))*4 + (1-(INDEX('Team Ratings'!$J$2:$J$73,MATCH($H10,'Team Ratings'!$A$2:$A$73,0))/MAX('Team Ratings'!$J$2:$J$73)))*2 + (INDEX('Team Ratings'!$N$2:$N$73,MATCH($H10,'Team Ratings'!$A$2:$A$73,0))/MAX('Team Ratings'!$N$2:$N$73)) + (INDEX('Team Ratings'!$M$2:$M$73,MATCH($H10,'Team Ratings'!$A$2:$A$73,0))/MAX('Team Ratings'!$M$2:$M$73)),2))</f>
        <v>1.1499999999999999</v>
      </c>
      <c r="AH10" s="16">
        <f t="array" ref="AH10">IF($S10=FALSE(),"",IFERROR(INDEX('Team Ratings'!$Q$2:$Q$73,MATCH($H10,'Team Ratings'!$A$2:$A$73,0)),0))</f>
        <v>0</v>
      </c>
      <c r="AI10" s="10" t="b">
        <f t="shared" si="6"/>
        <v>1</v>
      </c>
      <c r="AJ10" s="10"/>
      <c r="AK10" s="10" t="str">
        <f t="shared" si="7"/>
        <v>Arizona</v>
      </c>
      <c r="AL10" s="10">
        <v>9</v>
      </c>
    </row>
    <row r="11" spans="1:38" ht="20" customHeight="1" x14ac:dyDescent="0.2">
      <c r="A11" s="14" t="s">
        <v>170</v>
      </c>
      <c r="B11" s="14" t="s">
        <v>201</v>
      </c>
      <c r="C11" s="5">
        <f>_xlfn.SWITCH(B11,
 "Round 1",1,
 "Round 2",2,
 "Sweet 16",3,
 "Elite 8",4,
 "Final Four",5,
 "Championship",6
)*100
+
COUNTIF($B$2:B11,B11)</f>
        <v>110</v>
      </c>
      <c r="D11" s="5" t="s">
        <v>40</v>
      </c>
      <c r="E11" s="5"/>
      <c r="F11" s="5"/>
      <c r="G11" s="5" t="s">
        <v>48</v>
      </c>
      <c r="H11" s="5" t="s">
        <v>47</v>
      </c>
      <c r="I11" s="15">
        <f t="array" ref="I11">IFERROR(INDEX('Team Ratings'!$B$2:$B$73,MATCH($G11,'Team Ratings'!$A$2:$A$73,0)),"")</f>
        <v>9</v>
      </c>
      <c r="J11" s="15">
        <f t="array" ref="J11">IFERROR(INDEX('Team Ratings'!$B$2:$B$73,MATCH($H11,'Team Ratings'!$A$2:$A$73,0)),"")</f>
        <v>8</v>
      </c>
      <c r="K11" s="12">
        <f>IF($S11=FALSE(),"",ROUND((0.35*IFERROR((U11-AVERAGE('Team Metrics'!$X$2:$X$65))/_xlfn.STDEV.P('Team Metrics'!$X$2:$X$65),0)) + (0.2*IFERROR((V11-AVERAGE('Team Metrics'!$W$2:$W$65))/_xlfn.STDEV.P('Team Metrics'!$W$2:$W$65),0)) + (0.15*IFERROR((W11-AVERAGE('Team Metrics'!$Y$2:$Y$65))/_xlfn.STDEV.P('Team Metrics'!$Y$2:$Y$65),0)) + (0.1*IFERROR((X11-AVERAGE('Team Metrics'!$Z$2:$Z$65))/_xlfn.STDEV.P('Team Metrics'!$Z$2:$Z$65),0)) + (0.1*IFERROR((Y11-AVERAGE('Team Metrics'!$AA$2:$AA$65))/_xlfn.STDEV.P('Team Metrics'!$AA$2:$AA$65),0)) + (0.05*IFERROR((Z11-AVERAGE('Team Metrics'!$AB$2:$AB$65))/_xlfn.STDEV.P('Team Metrics'!$AB$2:$AB$65),0)) + (0.05*IFERROR((AA11-AVERAGE('Team Metrics'!$S$2:$S$65))/IF(_xlfn.STDEV.P('Team Metrics'!$S$2:$S$65)=0,1,_xlfn.STDEV.P('Team Metrics'!$S$2:$S$65)),0)),4))</f>
        <v>8.9899999999999994E-2</v>
      </c>
      <c r="L11" s="12">
        <f>IF($S11=FALSE(),"",ROUND((0.35*IFERROR((AB11-AVERAGE('Team Metrics'!$X$2:$X$65))/_xlfn.STDEV.P('Team Metrics'!$X$2:$X$65),0)) + (0.2*IFERROR((AC11-AVERAGE('Team Metrics'!$W$2:$W$65))/_xlfn.STDEV.P('Team Metrics'!$W$2:$W$65),0)) + (0.15*IFERROR((AD11-AVERAGE('Team Metrics'!$Y$2:$Y$65))/_xlfn.STDEV.P('Team Metrics'!$Y$2:$Y$65),0)) + (0.1*IFERROR((AE11-AVERAGE('Team Metrics'!$Z$2:$Z$65))/_xlfn.STDEV.P('Team Metrics'!$Z$2:$Z$65),0)) + (0.1*IFERROR((AF11-AVERAGE('Team Metrics'!$AA$2:$AA$65))/_xlfn.STDEV.P('Team Metrics'!$AA$2:$AA$65),0)) + (0.05*IFERROR((AG11-AVERAGE('Team Metrics'!$AB$2:$AB$65))/_xlfn.STDEV.P('Team Metrics'!$AB$2:$AB$65),0)) + (0.05*IFERROR((AH11-AVERAGE('Team Metrics'!$S$2:$S$65))/IF(_xlfn.STDEV.P('Team Metrics'!$S$2:$S$65)=0,1,_xlfn.STDEV.P('Team Metrics'!$S$2:$S$65)),0)),4))</f>
        <v>-9.0899999999999995E-2</v>
      </c>
      <c r="M11" s="12">
        <f t="shared" si="0"/>
        <v>0.18079999999999999</v>
      </c>
      <c r="N11" s="10" t="str">
        <f t="shared" si="1"/>
        <v>Utah St.</v>
      </c>
      <c r="O11" s="7">
        <f t="shared" si="2"/>
        <v>52.2</v>
      </c>
      <c r="P11" s="5" t="str">
        <f t="shared" si="3"/>
        <v>UPSET</v>
      </c>
      <c r="Q11" s="5" t="s">
        <v>129</v>
      </c>
      <c r="R11" s="5" t="s">
        <v>132</v>
      </c>
      <c r="S11" s="10" t="b">
        <f t="shared" si="4"/>
        <v>1</v>
      </c>
      <c r="T11" s="5" t="str">
        <f t="shared" si="5"/>
        <v>ΔComposite=0.18; AdjNET Δ=1.9; 3PT Δ=-0.2; TO Δ=2.2; REB Δ=1.2</v>
      </c>
      <c r="U11" s="16">
        <f t="array" ref="U11">IF($S11=FALSE(),"",ROUND((0.75*INDEX('Team Ratings'!$G$2:$G$73,MATCH($G11,'Team Ratings'!$A$2:$A$73,0)))+(0.25*INDEX('Team Ratings'!$T$2:$T$73,MATCH($G11,'Team Ratings'!$A$2:$A$73,0))),3))</f>
        <v>20.45</v>
      </c>
      <c r="V11" s="16">
        <f t="array" ref="V11">IF($S11=FALSE(),"",ROUND(INDEX('Team Ratings'!$T$2:$T$73,MATCH($G11,'Team Ratings'!$A$2:$A$73,0))-INDEX('Team Ratings'!$G$2:$G$73,MATCH($G11,'Team Ratings'!$A$2:$A$73,0)),3))</f>
        <v>-1.8</v>
      </c>
      <c r="W11" s="16">
        <f t="array" ref="W11">IF($S11=FALSE(),"",ROUND(INDEX('Team Ratings'!$O$2:$O$73,MATCH($G11,'Team Ratings'!$A$2:$A$73,0))-INDEX('Team Ratings'!$P$2:$P$73,MATCH($H11,'Team Ratings'!$A$2:$A$73,0)),3))</f>
        <v>1.2</v>
      </c>
      <c r="X11" s="16">
        <f t="array" ref="X11">IF($S11=FALSE(),"",ROUND(INDEX('Team Ratings'!$K$2:$K$73,MATCH($G11,'Team Ratings'!$A$2:$A$73,0))-INDEX('Team Ratings'!$J$2:$J$73,MATCH($H11,'Team Ratings'!$A$2:$A$73,0)),3))</f>
        <v>5.5</v>
      </c>
      <c r="Y11" s="16">
        <f t="array" ref="Y11">IF($S11=FALSE(),"",ROUND(MAX(0,MIN(10,5+((INDEX('Team Ratings'!$L$2:$L$73,MATCH($G11,'Team Ratings'!$A$2:$A$73,0))-INDEX('Team Ratings'!$M$2:$M$73,MATCH($H11,'Team Ratings'!$A$2:$A$73,0)))+(INDEX('Team Ratings'!$M$2:$M$73,MATCH($G11,'Team Ratings'!$A$2:$A$73,0))-INDEX('Team Ratings'!$L$2:$L$73,MATCH($H11,'Team Ratings'!$A$2:$A$73,0))))/2)),3))</f>
        <v>5.6</v>
      </c>
      <c r="Z11" s="16">
        <f t="array" ref="Z11">IF($S11=FALSE(),"",ROUND((1/I11)*4 + (INDEX('Team Ratings'!$T$2:$T$73,MATCH($G11,'Team Ratings'!$A$2:$A$73,0))/MAX('Team Ratings'!$T$2:$T$73))*4 + (1-(INDEX('Team Ratings'!$J$2:$J$73,MATCH($G11,'Team Ratings'!$A$2:$A$73,0))/MAX('Team Ratings'!$J$2:$J$73)))*2 + (INDEX('Team Ratings'!$N$2:$N$73,MATCH($G11,'Team Ratings'!$A$2:$A$73,0))/MAX('Team Ratings'!$N$2:$N$73)) + (INDEX('Team Ratings'!$M$2:$M$73,MATCH($G11,'Team Ratings'!$A$2:$A$73,0))/MAX('Team Ratings'!$M$2:$M$73)),2))</f>
        <v>4.58</v>
      </c>
      <c r="AA11" s="16">
        <f t="array" ref="AA11">IF($S11=FALSE(),"",IFERROR(INDEX('Team Ratings'!$Q$2:$Q$73,MATCH($G11,'Team Ratings'!$A$2:$A$73,0)),0))</f>
        <v>0</v>
      </c>
      <c r="AB11" s="16">
        <f t="array" ref="AB11">IF($S11=FALSE(),"",ROUND((0.75*INDEX('Team Ratings'!$G$2:$G$73,MATCH($H11,'Team Ratings'!$A$2:$A$73,0)))+(0.25*INDEX('Team Ratings'!$T$2:$T$73,MATCH($H11,'Team Ratings'!$A$2:$A$73,0))),3))</f>
        <v>18.55</v>
      </c>
      <c r="AC11" s="16">
        <f t="array" ref="AC11">IF($S11=FALSE(),"",ROUND(INDEX('Team Ratings'!$T$2:$T$73,MATCH($H11,'Team Ratings'!$A$2:$A$73,0))-INDEX('Team Ratings'!$G$2:$G$73,MATCH($H11,'Team Ratings'!$A$2:$A$73,0)),3))</f>
        <v>-2.2000000000000002</v>
      </c>
      <c r="AD11" s="16">
        <f t="array" ref="AD11">IF($S11=FALSE(),"",ROUND(INDEX('Team Ratings'!$O$2:$O$73,MATCH($H11,'Team Ratings'!$A$2:$A$73,0))-INDEX('Team Ratings'!$P$2:$P$73,MATCH($G11,'Team Ratings'!$A$2:$A$73,0)),3))</f>
        <v>1.4</v>
      </c>
      <c r="AE11" s="16">
        <f t="array" ref="AE11">IF($S11=FALSE(),"",ROUND(INDEX('Team Ratings'!$K$2:$K$73,MATCH($H11,'Team Ratings'!$A$2:$A$73,0))-INDEX('Team Ratings'!$J$2:$J$73,MATCH($G11,'Team Ratings'!$A$2:$A$73,0)),3))</f>
        <v>3.3</v>
      </c>
      <c r="AF11" s="16">
        <f t="array" ref="AF11">IF($S11=FALSE(),"",ROUND(MAX(0,MIN(10,5+((INDEX('Team Ratings'!$L$2:$L$73,MATCH($H11,'Team Ratings'!$A$2:$A$73,0))-INDEX('Team Ratings'!$M$2:$M$73,MATCH($G11,'Team Ratings'!$A$2:$A$73,0)))+(INDEX('Team Ratings'!$M$2:$M$73,MATCH($H11,'Team Ratings'!$A$2:$A$73,0))-INDEX('Team Ratings'!$L$2:$L$73,MATCH($G11,'Team Ratings'!$A$2:$A$73,0))))/2)),3))</f>
        <v>4.4000000000000004</v>
      </c>
      <c r="AG11" s="16">
        <f t="array" ref="AG11">IF($S11=FALSE(),"",ROUND((1/J11)*4 + (INDEX('Team Ratings'!$T$2:$T$73,MATCH($H11,'Team Ratings'!$A$2:$A$73,0))/MAX('Team Ratings'!$T$2:$T$73))*4 + (1-(INDEX('Team Ratings'!$J$2:$J$73,MATCH($H11,'Team Ratings'!$A$2:$A$73,0))/MAX('Team Ratings'!$J$2:$J$73)))*2 + (INDEX('Team Ratings'!$N$2:$N$73,MATCH($H11,'Team Ratings'!$A$2:$A$73,0))/MAX('Team Ratings'!$N$2:$N$73)) + (INDEX('Team Ratings'!$M$2:$M$73,MATCH($H11,'Team Ratings'!$A$2:$A$73,0))/MAX('Team Ratings'!$M$2:$M$73)),2))</f>
        <v>4.2699999999999996</v>
      </c>
      <c r="AH11" s="16">
        <f t="array" ref="AH11">IF($S11=FALSE(),"",IFERROR(INDEX('Team Ratings'!$Q$2:$Q$73,MATCH($H11,'Team Ratings'!$A$2:$A$73,0)),0))</f>
        <v>0</v>
      </c>
      <c r="AI11" s="10" t="b">
        <f t="shared" si="6"/>
        <v>1</v>
      </c>
      <c r="AJ11" s="10"/>
      <c r="AK11" s="10" t="str">
        <f t="shared" si="7"/>
        <v>Utah St.</v>
      </c>
      <c r="AL11" s="10">
        <v>9</v>
      </c>
    </row>
    <row r="12" spans="1:38" ht="20" customHeight="1" x14ac:dyDescent="0.2">
      <c r="A12" s="14" t="s">
        <v>158</v>
      </c>
      <c r="B12" s="14" t="s">
        <v>201</v>
      </c>
      <c r="C12" s="5">
        <f>_xlfn.SWITCH(B12,
 "Round 1",1,
 "Round 2",2,
 "Sweet 16",3,
 "Elite 8",4,
 "Final Four",5,
 "Championship",6
)*100
+
COUNTIF($B$2:B12,B12)</f>
        <v>111</v>
      </c>
      <c r="D12" s="5" t="s">
        <v>40</v>
      </c>
      <c r="E12" s="5"/>
      <c r="F12" s="5"/>
      <c r="G12" s="5" t="s">
        <v>44</v>
      </c>
      <c r="H12" s="5" t="s">
        <v>54</v>
      </c>
      <c r="I12" s="15">
        <f t="array" ref="I12">IFERROR(INDEX('Team Ratings'!$B$2:$B$73,MATCH($G12,'Team Ratings'!$A$2:$A$73,0)),"")</f>
        <v>5</v>
      </c>
      <c r="J12" s="15">
        <f t="array" ref="J12">IFERROR(INDEX('Team Ratings'!$B$2:$B$73,MATCH($H12,'Team Ratings'!$A$2:$A$73,0)),"")</f>
        <v>12</v>
      </c>
      <c r="K12" s="12">
        <f>IF($S12=FALSE(),"",ROUND((0.35*IFERROR((U12-AVERAGE('Team Metrics'!$X$2:$X$65))/_xlfn.STDEV.P('Team Metrics'!$X$2:$X$65),0)) + (0.2*IFERROR((V12-AVERAGE('Team Metrics'!$W$2:$W$65))/_xlfn.STDEV.P('Team Metrics'!$W$2:$W$65),0)) + (0.15*IFERROR((W12-AVERAGE('Team Metrics'!$Y$2:$Y$65))/_xlfn.STDEV.P('Team Metrics'!$Y$2:$Y$65),0)) + (0.1*IFERROR((X12-AVERAGE('Team Metrics'!$Z$2:$Z$65))/_xlfn.STDEV.P('Team Metrics'!$Z$2:$Z$65),0)) + (0.1*IFERROR((Y12-AVERAGE('Team Metrics'!$AA$2:$AA$65))/_xlfn.STDEV.P('Team Metrics'!$AA$2:$AA$65),0)) + (0.05*IFERROR((Z12-AVERAGE('Team Metrics'!$AB$2:$AB$65))/_xlfn.STDEV.P('Team Metrics'!$AB$2:$AB$65),0)) + (0.05*IFERROR((AA12-AVERAGE('Team Metrics'!$S$2:$S$65))/IF(_xlfn.STDEV.P('Team Metrics'!$S$2:$S$65)=0,1,_xlfn.STDEV.P('Team Metrics'!$S$2:$S$65)),0)),4))</f>
        <v>0.63260000000000005</v>
      </c>
      <c r="L12" s="12">
        <f>IF($S12=FALSE(),"",ROUND((0.35*IFERROR((AB12-AVERAGE('Team Metrics'!$X$2:$X$65))/_xlfn.STDEV.P('Team Metrics'!$X$2:$X$65),0)) + (0.2*IFERROR((AC12-AVERAGE('Team Metrics'!$W$2:$W$65))/_xlfn.STDEV.P('Team Metrics'!$W$2:$W$65),0)) + (0.15*IFERROR((AD12-AVERAGE('Team Metrics'!$Y$2:$Y$65))/_xlfn.STDEV.P('Team Metrics'!$Y$2:$Y$65),0)) + (0.1*IFERROR((AE12-AVERAGE('Team Metrics'!$Z$2:$Z$65))/_xlfn.STDEV.P('Team Metrics'!$Z$2:$Z$65),0)) + (0.1*IFERROR((AF12-AVERAGE('Team Metrics'!$AA$2:$AA$65))/_xlfn.STDEV.P('Team Metrics'!$AA$2:$AA$65),0)) + (0.05*IFERROR((AG12-AVERAGE('Team Metrics'!$AB$2:$AB$65))/_xlfn.STDEV.P('Team Metrics'!$AB$2:$AB$65),0)) + (0.05*IFERROR((AH12-AVERAGE('Team Metrics'!$S$2:$S$65))/IF(_xlfn.STDEV.P('Team Metrics'!$S$2:$S$65)=0,1,_xlfn.STDEV.P('Team Metrics'!$S$2:$S$65)),0)),4))</f>
        <v>-0.1203</v>
      </c>
      <c r="M12" s="12">
        <f t="shared" si="0"/>
        <v>0.75290000000000001</v>
      </c>
      <c r="N12" s="10" t="str">
        <f t="shared" si="1"/>
        <v>Wisconsin</v>
      </c>
      <c r="O12" s="7">
        <f t="shared" si="2"/>
        <v>59</v>
      </c>
      <c r="P12" s="5" t="str">
        <f t="shared" si="3"/>
        <v/>
      </c>
      <c r="Q12" s="5" t="s">
        <v>154</v>
      </c>
      <c r="R12" s="5" t="s">
        <v>123</v>
      </c>
      <c r="S12" s="10" t="b">
        <f t="shared" si="4"/>
        <v>1</v>
      </c>
      <c r="T12" s="5" t="str">
        <f t="shared" si="5"/>
        <v>ΔComposite=0.75; AdjNET Δ=20.6; 3PT Δ=3.1; TO Δ=-7.7; REB Δ=-6.2</v>
      </c>
      <c r="U12" s="16">
        <f t="array" ref="U12">IF($S12=FALSE(),"",ROUND((0.75*INDEX('Team Ratings'!$G$2:$G$73,MATCH($G12,'Team Ratings'!$A$2:$A$73,0)))+(0.25*INDEX('Team Ratings'!$T$2:$T$73,MATCH($G12,'Team Ratings'!$A$2:$A$73,0))),3))</f>
        <v>28.45</v>
      </c>
      <c r="V12" s="16">
        <f t="array" ref="V12">IF($S12=FALSE(),"",ROUND(INDEX('Team Ratings'!$T$2:$T$73,MATCH($G12,'Team Ratings'!$A$2:$A$73,0))-INDEX('Team Ratings'!$G$2:$G$73,MATCH($G12,'Team Ratings'!$A$2:$A$73,0)),3))</f>
        <v>11.4</v>
      </c>
      <c r="W12" s="16">
        <f t="array" ref="W12">IF($S12=FALSE(),"",ROUND(INDEX('Team Ratings'!$O$2:$O$73,MATCH($G12,'Team Ratings'!$A$2:$A$73,0))-INDEX('Team Ratings'!$P$2:$P$73,MATCH($H12,'Team Ratings'!$A$2:$A$73,0)),3))</f>
        <v>4.2</v>
      </c>
      <c r="X12" s="16">
        <f t="array" ref="X12">IF($S12=FALSE(),"",ROUND(INDEX('Team Ratings'!$K$2:$K$73,MATCH($G12,'Team Ratings'!$A$2:$A$73,0))-INDEX('Team Ratings'!$J$2:$J$73,MATCH($H12,'Team Ratings'!$A$2:$A$73,0)),3))</f>
        <v>1.4</v>
      </c>
      <c r="Y12" s="16">
        <f t="array" ref="Y12">IF($S12=FALSE(),"",ROUND(MAX(0,MIN(10,5+((INDEX('Team Ratings'!$L$2:$L$73,MATCH($G12,'Team Ratings'!$A$2:$A$73,0))-INDEX('Team Ratings'!$M$2:$M$73,MATCH($H12,'Team Ratings'!$A$2:$A$73,0)))+(INDEX('Team Ratings'!$M$2:$M$73,MATCH($G12,'Team Ratings'!$A$2:$A$73,0))-INDEX('Team Ratings'!$L$2:$L$73,MATCH($H12,'Team Ratings'!$A$2:$A$73,0))))/2)),3))</f>
        <v>1.9</v>
      </c>
      <c r="Z12" s="16">
        <f t="array" ref="Z12">IF($S12=FALSE(),"",ROUND((1/I12)*4 + (INDEX('Team Ratings'!$T$2:$T$73,MATCH($G12,'Team Ratings'!$A$2:$A$73,0))/MAX('Team Ratings'!$T$2:$T$73))*4 + (1-(INDEX('Team Ratings'!$J$2:$J$73,MATCH($G12,'Team Ratings'!$A$2:$A$73,0))/MAX('Team Ratings'!$J$2:$J$73)))*2 + (INDEX('Team Ratings'!$N$2:$N$73,MATCH($G12,'Team Ratings'!$A$2:$A$73,0))/MAX('Team Ratings'!$N$2:$N$73)) + (INDEX('Team Ratings'!$M$2:$M$73,MATCH($G12,'Team Ratings'!$A$2:$A$73,0))/MAX('Team Ratings'!$M$2:$M$73)),2))</f>
        <v>6.74</v>
      </c>
      <c r="AA12" s="16">
        <f t="array" ref="AA12">IF($S12=FALSE(),"",IFERROR(INDEX('Team Ratings'!$Q$2:$Q$73,MATCH($G12,'Team Ratings'!$A$2:$A$73,0)),0))</f>
        <v>0</v>
      </c>
      <c r="AB12" s="16">
        <f t="array" ref="AB12">IF($S12=FALSE(),"",ROUND((0.75*INDEX('Team Ratings'!$G$2:$G$73,MATCH($H12,'Team Ratings'!$A$2:$A$73,0)))+(0.25*INDEX('Team Ratings'!$T$2:$T$73,MATCH($H12,'Team Ratings'!$A$2:$A$73,0))),3))</f>
        <v>7.875</v>
      </c>
      <c r="AC12" s="16">
        <f t="array" ref="AC12">IF($S12=FALSE(),"",ROUND(INDEX('Team Ratings'!$T$2:$T$73,MATCH($H12,'Team Ratings'!$A$2:$A$73,0))-INDEX('Team Ratings'!$G$2:$G$73,MATCH($H12,'Team Ratings'!$A$2:$A$73,0)),3))</f>
        <v>-1.3</v>
      </c>
      <c r="AD12" s="16">
        <f t="array" ref="AD12">IF($S12=FALSE(),"",ROUND(INDEX('Team Ratings'!$O$2:$O$73,MATCH($H12,'Team Ratings'!$A$2:$A$73,0))-INDEX('Team Ratings'!$P$2:$P$73,MATCH($G12,'Team Ratings'!$A$2:$A$73,0)),3))</f>
        <v>1.1000000000000001</v>
      </c>
      <c r="AE12" s="16">
        <f t="array" ref="AE12">IF($S12=FALSE(),"",ROUND(INDEX('Team Ratings'!$K$2:$K$73,MATCH($H12,'Team Ratings'!$A$2:$A$73,0))-INDEX('Team Ratings'!$J$2:$J$73,MATCH($G12,'Team Ratings'!$A$2:$A$73,0)),3))</f>
        <v>9.1</v>
      </c>
      <c r="AF12" s="16">
        <f t="array" ref="AF12">IF($S12=FALSE(),"",ROUND(MAX(0,MIN(10,5+((INDEX('Team Ratings'!$L$2:$L$73,MATCH($H12,'Team Ratings'!$A$2:$A$73,0))-INDEX('Team Ratings'!$M$2:$M$73,MATCH($G12,'Team Ratings'!$A$2:$A$73,0)))+(INDEX('Team Ratings'!$M$2:$M$73,MATCH($H12,'Team Ratings'!$A$2:$A$73,0))-INDEX('Team Ratings'!$L$2:$L$73,MATCH($G12,'Team Ratings'!$A$2:$A$73,0))))/2)),3))</f>
        <v>8.1</v>
      </c>
      <c r="AG12" s="16">
        <f t="array" ref="AG12">IF($S12=FALSE(),"",ROUND((1/J12)*4 + (INDEX('Team Ratings'!$T$2:$T$73,MATCH($H12,'Team Ratings'!$A$2:$A$73,0))/MAX('Team Ratings'!$T$2:$T$73))*4 + (1-(INDEX('Team Ratings'!$J$2:$J$73,MATCH($H12,'Team Ratings'!$A$2:$A$73,0))/MAX('Team Ratings'!$J$2:$J$73)))*2 + (INDEX('Team Ratings'!$N$2:$N$73,MATCH($H12,'Team Ratings'!$A$2:$A$73,0))/MAX('Team Ratings'!$N$2:$N$73)) + (INDEX('Team Ratings'!$M$2:$M$73,MATCH($H12,'Team Ratings'!$A$2:$A$73,0))/MAX('Team Ratings'!$M$2:$M$73)),2))</f>
        <v>3.55</v>
      </c>
      <c r="AH12" s="16">
        <f t="array" ref="AH12">IF($S12=FALSE(),"",IFERROR(INDEX('Team Ratings'!$Q$2:$Q$73,MATCH($H12,'Team Ratings'!$A$2:$A$73,0)),0))</f>
        <v>0</v>
      </c>
      <c r="AI12" s="10" t="b">
        <f t="shared" si="6"/>
        <v>1</v>
      </c>
      <c r="AJ12" s="10"/>
      <c r="AK12" s="10" t="str">
        <f t="shared" si="7"/>
        <v>Wisconsin</v>
      </c>
      <c r="AL12" s="10">
        <v>9</v>
      </c>
    </row>
    <row r="13" spans="1:38" ht="20" customHeight="1" x14ac:dyDescent="0.2">
      <c r="A13" s="14" t="s">
        <v>153</v>
      </c>
      <c r="B13" s="14" t="s">
        <v>201</v>
      </c>
      <c r="C13" s="5">
        <f>_xlfn.SWITCH(B13,
 "Round 1",1,
 "Round 2",2,
 "Sweet 16",3,
 "Elite 8",4,
 "Final Four",5,
 "Championship",6
)*100
+
COUNTIF($B$2:B13,B13)</f>
        <v>112</v>
      </c>
      <c r="D13" s="5" t="s">
        <v>40</v>
      </c>
      <c r="E13" s="5"/>
      <c r="F13" s="5"/>
      <c r="G13" s="5" t="s">
        <v>55</v>
      </c>
      <c r="H13" s="5" t="s">
        <v>43</v>
      </c>
      <c r="I13" s="15">
        <f t="array" ref="I13">IFERROR(INDEX('Team Ratings'!$B$2:$B$73,MATCH($G13,'Team Ratings'!$A$2:$A$73,0)),"")</f>
        <v>13</v>
      </c>
      <c r="J13" s="15">
        <f t="array" ref="J13">IFERROR(INDEX('Team Ratings'!$B$2:$B$73,MATCH($H13,'Team Ratings'!$A$2:$A$73,0)),"")</f>
        <v>4</v>
      </c>
      <c r="K13" s="12">
        <f>IF($S13=FALSE(),"",ROUND((0.35*IFERROR((U13-AVERAGE('Team Metrics'!$X$2:$X$65))/_xlfn.STDEV.P('Team Metrics'!$X$2:$X$65),0)) + (0.2*IFERROR((V13-AVERAGE('Team Metrics'!$W$2:$W$65))/_xlfn.STDEV.P('Team Metrics'!$W$2:$W$65),0)) + (0.15*IFERROR((W13-AVERAGE('Team Metrics'!$Y$2:$Y$65))/_xlfn.STDEV.P('Team Metrics'!$Y$2:$Y$65),0)) + (0.1*IFERROR((X13-AVERAGE('Team Metrics'!$Z$2:$Z$65))/_xlfn.STDEV.P('Team Metrics'!$Z$2:$Z$65),0)) + (0.1*IFERROR((Y13-AVERAGE('Team Metrics'!$AA$2:$AA$65))/_xlfn.STDEV.P('Team Metrics'!$AA$2:$AA$65),0)) + (0.05*IFERROR((Z13-AVERAGE('Team Metrics'!$AB$2:$AB$65))/_xlfn.STDEV.P('Team Metrics'!$AB$2:$AB$65),0)) + (0.05*IFERROR((AA13-AVERAGE('Team Metrics'!$S$2:$S$65))/IF(_xlfn.STDEV.P('Team Metrics'!$S$2:$S$65)=0,1,_xlfn.STDEV.P('Team Metrics'!$S$2:$S$65)),0)),4))</f>
        <v>-0.68149999999999999</v>
      </c>
      <c r="L13" s="12">
        <f>IF($S13=FALSE(),"",ROUND((0.35*IFERROR((AB13-AVERAGE('Team Metrics'!$X$2:$X$65))/_xlfn.STDEV.P('Team Metrics'!$X$2:$X$65),0)) + (0.2*IFERROR((AC13-AVERAGE('Team Metrics'!$W$2:$W$65))/_xlfn.STDEV.P('Team Metrics'!$W$2:$W$65),0)) + (0.15*IFERROR((AD13-AVERAGE('Team Metrics'!$Y$2:$Y$65))/_xlfn.STDEV.P('Team Metrics'!$Y$2:$Y$65),0)) + (0.1*IFERROR((AE13-AVERAGE('Team Metrics'!$Z$2:$Z$65))/_xlfn.STDEV.P('Team Metrics'!$Z$2:$Z$65),0)) + (0.1*IFERROR((AF13-AVERAGE('Team Metrics'!$AA$2:$AA$65))/_xlfn.STDEV.P('Team Metrics'!$AA$2:$AA$65),0)) + (0.05*IFERROR((AG13-AVERAGE('Team Metrics'!$AB$2:$AB$65))/_xlfn.STDEV.P('Team Metrics'!$AB$2:$AB$65),0)) + (0.05*IFERROR((AH13-AVERAGE('Team Metrics'!$S$2:$S$65))/IF(_xlfn.STDEV.P('Team Metrics'!$S$2:$S$65)=0,1,_xlfn.STDEV.P('Team Metrics'!$S$2:$S$65)),0)),4))</f>
        <v>0.70660000000000001</v>
      </c>
      <c r="M13" s="12">
        <f t="shared" si="0"/>
        <v>-1.3880999999999999</v>
      </c>
      <c r="N13" s="10" t="str">
        <f t="shared" si="1"/>
        <v>Arkansas</v>
      </c>
      <c r="O13" s="7">
        <f t="shared" si="2"/>
        <v>66.7</v>
      </c>
      <c r="P13" s="5" t="str">
        <f t="shared" si="3"/>
        <v/>
      </c>
      <c r="Q13" s="5" t="s">
        <v>154</v>
      </c>
      <c r="R13" s="5" t="s">
        <v>132</v>
      </c>
      <c r="S13" s="10" t="b">
        <f t="shared" si="4"/>
        <v>1</v>
      </c>
      <c r="T13" s="5" t="str">
        <f t="shared" si="5"/>
        <v>ΔComposite=1.39; AdjNET Δ=-22.1; 3PT Δ=-8.3; TO Δ=7.8; REB Δ=-7</v>
      </c>
      <c r="U13" s="16">
        <f t="array" ref="U13">IF($S13=FALSE(),"",ROUND((0.75*INDEX('Team Ratings'!$G$2:$G$73,MATCH($G13,'Team Ratings'!$A$2:$A$73,0)))+(0.25*INDEX('Team Ratings'!$T$2:$T$73,MATCH($G13,'Team Ratings'!$A$2:$A$73,0))),3))</f>
        <v>4.95</v>
      </c>
      <c r="V13" s="16">
        <f t="array" ref="V13">IF($S13=FALSE(),"",ROUND(INDEX('Team Ratings'!$T$2:$T$73,MATCH($G13,'Team Ratings'!$A$2:$A$73,0))-INDEX('Team Ratings'!$G$2:$G$73,MATCH($G13,'Team Ratings'!$A$2:$A$73,0)),3))</f>
        <v>-0.6</v>
      </c>
      <c r="W13" s="16">
        <f t="array" ref="W13">IF($S13=FALSE(),"",ROUND(INDEX('Team Ratings'!$O$2:$O$73,MATCH($G13,'Team Ratings'!$A$2:$A$73,0))-INDEX('Team Ratings'!$P$2:$P$73,MATCH($H13,'Team Ratings'!$A$2:$A$73,0)),3))</f>
        <v>-0.1</v>
      </c>
      <c r="X13" s="16">
        <f t="array" ref="X13">IF($S13=FALSE(),"",ROUND(INDEX('Team Ratings'!$K$2:$K$73,MATCH($G13,'Team Ratings'!$A$2:$A$73,0))-INDEX('Team Ratings'!$J$2:$J$73,MATCH($H13,'Team Ratings'!$A$2:$A$73,0)),3))</f>
        <v>4.5999999999999996</v>
      </c>
      <c r="Y13" s="16">
        <f t="array" ref="Y13">IF($S13=FALSE(),"",ROUND(MAX(0,MIN(10,5+((INDEX('Team Ratings'!$L$2:$L$73,MATCH($G13,'Team Ratings'!$A$2:$A$73,0))-INDEX('Team Ratings'!$M$2:$M$73,MATCH($H13,'Team Ratings'!$A$2:$A$73,0)))+(INDEX('Team Ratings'!$M$2:$M$73,MATCH($G13,'Team Ratings'!$A$2:$A$73,0))-INDEX('Team Ratings'!$L$2:$L$73,MATCH($H13,'Team Ratings'!$A$2:$A$73,0))))/2)),3))</f>
        <v>1.5</v>
      </c>
      <c r="Z13" s="16">
        <f t="array" ref="Z13">IF($S13=FALSE(),"",ROUND((1/I13)*4 + (INDEX('Team Ratings'!$T$2:$T$73,MATCH($G13,'Team Ratings'!$A$2:$A$73,0))/MAX('Team Ratings'!$T$2:$T$73))*4 + (1-(INDEX('Team Ratings'!$J$2:$J$73,MATCH($G13,'Team Ratings'!$A$2:$A$73,0))/MAX('Team Ratings'!$J$2:$J$73)))*2 + (INDEX('Team Ratings'!$N$2:$N$73,MATCH($G13,'Team Ratings'!$A$2:$A$73,0))/MAX('Team Ratings'!$N$2:$N$73)) + (INDEX('Team Ratings'!$M$2:$M$73,MATCH($G13,'Team Ratings'!$A$2:$A$73,0))/MAX('Team Ratings'!$M$2:$M$73)),2))</f>
        <v>2.4900000000000002</v>
      </c>
      <c r="AA13" s="16">
        <f t="array" ref="AA13">IF($S13=FALSE(),"",IFERROR(INDEX('Team Ratings'!$Q$2:$Q$73,MATCH($G13,'Team Ratings'!$A$2:$A$73,0)),0))</f>
        <v>0</v>
      </c>
      <c r="AB13" s="16">
        <f t="array" ref="AB13">IF($S13=FALSE(),"",ROUND((0.75*INDEX('Team Ratings'!$G$2:$G$73,MATCH($H13,'Team Ratings'!$A$2:$A$73,0)))+(0.25*INDEX('Team Ratings'!$T$2:$T$73,MATCH($H13,'Team Ratings'!$A$2:$A$73,0))),3))</f>
        <v>27.024999999999999</v>
      </c>
      <c r="AC13" s="16">
        <f t="array" ref="AC13">IF($S13=FALSE(),"",ROUND(INDEX('Team Ratings'!$T$2:$T$73,MATCH($H13,'Team Ratings'!$A$2:$A$73,0))-INDEX('Team Ratings'!$G$2:$G$73,MATCH($H13,'Team Ratings'!$A$2:$A$73,0)),3))</f>
        <v>2.9</v>
      </c>
      <c r="AD13" s="16">
        <f t="array" ref="AD13">IF($S13=FALSE(),"",ROUND(INDEX('Team Ratings'!$O$2:$O$73,MATCH($H13,'Team Ratings'!$A$2:$A$73,0))-INDEX('Team Ratings'!$P$2:$P$73,MATCH($G13,'Team Ratings'!$A$2:$A$73,0)),3))</f>
        <v>8.1999999999999993</v>
      </c>
      <c r="AE13" s="16">
        <f t="array" ref="AE13">IF($S13=FALSE(),"",ROUND(INDEX('Team Ratings'!$K$2:$K$73,MATCH($H13,'Team Ratings'!$A$2:$A$73,0))-INDEX('Team Ratings'!$J$2:$J$73,MATCH($G13,'Team Ratings'!$A$2:$A$73,0)),3))</f>
        <v>-3.2</v>
      </c>
      <c r="AF13" s="16">
        <f t="array" ref="AF13">IF($S13=FALSE(),"",ROUND(MAX(0,MIN(10,5+((INDEX('Team Ratings'!$L$2:$L$73,MATCH($H13,'Team Ratings'!$A$2:$A$73,0))-INDEX('Team Ratings'!$M$2:$M$73,MATCH($G13,'Team Ratings'!$A$2:$A$73,0)))+(INDEX('Team Ratings'!$M$2:$M$73,MATCH($H13,'Team Ratings'!$A$2:$A$73,0))-INDEX('Team Ratings'!$L$2:$L$73,MATCH($G13,'Team Ratings'!$A$2:$A$73,0))))/2)),3))</f>
        <v>8.5</v>
      </c>
      <c r="AG13" s="16">
        <f t="array" ref="AG13">IF($S13=FALSE(),"",ROUND((1/J13)*4 + (INDEX('Team Ratings'!$T$2:$T$73,MATCH($H13,'Team Ratings'!$A$2:$A$73,0))/MAX('Team Ratings'!$T$2:$T$73))*4 + (1-(INDEX('Team Ratings'!$J$2:$J$73,MATCH($H13,'Team Ratings'!$A$2:$A$73,0))/MAX('Team Ratings'!$J$2:$J$73)))*2 + (INDEX('Team Ratings'!$N$2:$N$73,MATCH($H13,'Team Ratings'!$A$2:$A$73,0))/MAX('Team Ratings'!$N$2:$N$73)) + (INDEX('Team Ratings'!$M$2:$M$73,MATCH($H13,'Team Ratings'!$A$2:$A$73,0))/MAX('Team Ratings'!$M$2:$M$73)),2))</f>
        <v>6.39</v>
      </c>
      <c r="AH13" s="16">
        <f t="array" ref="AH13">IF($S13=FALSE(),"",IFERROR(INDEX('Team Ratings'!$Q$2:$Q$73,MATCH($H13,'Team Ratings'!$A$2:$A$73,0)),0))</f>
        <v>0</v>
      </c>
      <c r="AI13" s="10" t="b">
        <f t="shared" si="6"/>
        <v>1</v>
      </c>
      <c r="AJ13" s="10"/>
      <c r="AK13" s="10" t="str">
        <f t="shared" si="7"/>
        <v>Arkansas</v>
      </c>
      <c r="AL13" s="10">
        <v>9</v>
      </c>
    </row>
    <row r="14" spans="1:38" ht="20" customHeight="1" x14ac:dyDescent="0.2">
      <c r="A14" s="14" t="s">
        <v>162</v>
      </c>
      <c r="B14" s="14" t="s">
        <v>201</v>
      </c>
      <c r="C14" s="5">
        <f>_xlfn.SWITCH(B14,
 "Round 1",1,
 "Round 2",2,
 "Sweet 16",3,
 "Elite 8",4,
 "Final Four",5,
 "Championship",6
)*100
+
COUNTIF($B$2:B14,B14)</f>
        <v>113</v>
      </c>
      <c r="D14" s="5" t="s">
        <v>40</v>
      </c>
      <c r="E14" s="5"/>
      <c r="F14" s="5"/>
      <c r="G14" s="5" t="s">
        <v>45</v>
      </c>
      <c r="H14" s="5" t="s">
        <v>53</v>
      </c>
      <c r="I14" s="15">
        <f t="array" ref="I14">IFERROR(INDEX('Team Ratings'!$B$2:$B$73,MATCH($G14,'Team Ratings'!$A$2:$A$73,0)),"")</f>
        <v>6</v>
      </c>
      <c r="J14" s="15">
        <f t="array" ref="J14">IFERROR(INDEX('Team Ratings'!$B$2:$B$73,MATCH($H14,'Team Ratings'!$A$2:$A$73,0)),"")</f>
        <v>11</v>
      </c>
      <c r="K14" s="12">
        <f>IF($S14=FALSE(),"",ROUND((0.35*IFERROR((U14-AVERAGE('Team Metrics'!$X$2:$X$65))/_xlfn.STDEV.P('Team Metrics'!$X$2:$X$65),0)) + (0.2*IFERROR((V14-AVERAGE('Team Metrics'!$W$2:$W$65))/_xlfn.STDEV.P('Team Metrics'!$W$2:$W$65),0)) + (0.15*IFERROR((W14-AVERAGE('Team Metrics'!$Y$2:$Y$65))/_xlfn.STDEV.P('Team Metrics'!$Y$2:$Y$65),0)) + (0.1*IFERROR((X14-AVERAGE('Team Metrics'!$Z$2:$Z$65))/_xlfn.STDEV.P('Team Metrics'!$Z$2:$Z$65),0)) + (0.1*IFERROR((Y14-AVERAGE('Team Metrics'!$AA$2:$AA$65))/_xlfn.STDEV.P('Team Metrics'!$AA$2:$AA$65),0)) + (0.05*IFERROR((Z14-AVERAGE('Team Metrics'!$AB$2:$AB$65))/_xlfn.STDEV.P('Team Metrics'!$AB$2:$AB$65),0)) + (0.05*IFERROR((AA14-AVERAGE('Team Metrics'!$S$2:$S$65))/IF(_xlfn.STDEV.P('Team Metrics'!$S$2:$S$65)=0,1,_xlfn.STDEV.P('Team Metrics'!$S$2:$S$65)),0)),4))</f>
        <v>-0.1394</v>
      </c>
      <c r="L14" s="12">
        <f>IF($S14=FALSE(),"",ROUND((0.35*IFERROR((AB14-AVERAGE('Team Metrics'!$X$2:$X$65))/_xlfn.STDEV.P('Team Metrics'!$X$2:$X$65),0)) + (0.2*IFERROR((AC14-AVERAGE('Team Metrics'!$W$2:$W$65))/_xlfn.STDEV.P('Team Metrics'!$W$2:$W$65),0)) + (0.15*IFERROR((AD14-AVERAGE('Team Metrics'!$Y$2:$Y$65))/_xlfn.STDEV.P('Team Metrics'!$Y$2:$Y$65),0)) + (0.1*IFERROR((AE14-AVERAGE('Team Metrics'!$Z$2:$Z$65))/_xlfn.STDEV.P('Team Metrics'!$Z$2:$Z$65),0)) + (0.1*IFERROR((AF14-AVERAGE('Team Metrics'!$AA$2:$AA$65))/_xlfn.STDEV.P('Team Metrics'!$AA$2:$AA$65),0)) + (0.05*IFERROR((AG14-AVERAGE('Team Metrics'!$AB$2:$AB$65))/_xlfn.STDEV.P('Team Metrics'!$AB$2:$AB$65),0)) + (0.05*IFERROR((AH14-AVERAGE('Team Metrics'!$S$2:$S$65))/IF(_xlfn.STDEV.P('Team Metrics'!$S$2:$S$65)=0,1,_xlfn.STDEV.P('Team Metrics'!$S$2:$S$65)),0)),4))</f>
        <v>-0.87160000000000004</v>
      </c>
      <c r="M14" s="12">
        <f t="shared" si="0"/>
        <v>0.73219999999999996</v>
      </c>
      <c r="N14" s="10" t="str">
        <f t="shared" si="1"/>
        <v>BYU</v>
      </c>
      <c r="O14" s="7">
        <f t="shared" si="2"/>
        <v>58.8</v>
      </c>
      <c r="P14" s="5" t="str">
        <f t="shared" si="3"/>
        <v/>
      </c>
      <c r="Q14" s="5" t="s">
        <v>146</v>
      </c>
      <c r="R14" s="5" t="s">
        <v>123</v>
      </c>
      <c r="S14" s="10" t="b">
        <f t="shared" si="4"/>
        <v>1</v>
      </c>
      <c r="T14" s="5" t="str">
        <f t="shared" si="5"/>
        <v>ΔComposite=0.73; AdjNET Δ=6.8; 3PT Δ=-0.7; TO Δ=3.1; REB Δ=1.3</v>
      </c>
      <c r="U14" s="16">
        <f t="array" ref="U14">IF($S14=FALSE(),"",ROUND((0.75*INDEX('Team Ratings'!$G$2:$G$73,MATCH($G14,'Team Ratings'!$A$2:$A$73,0)))+(0.25*INDEX('Team Ratings'!$T$2:$T$73,MATCH($G14,'Team Ratings'!$A$2:$A$73,0))),3))</f>
        <v>20.574999999999999</v>
      </c>
      <c r="V14" s="16">
        <f t="array" ref="V14">IF($S14=FALSE(),"",ROUND(INDEX('Team Ratings'!$T$2:$T$73,MATCH($G14,'Team Ratings'!$A$2:$A$73,0))-INDEX('Team Ratings'!$G$2:$G$73,MATCH($G14,'Team Ratings'!$A$2:$A$73,0)),3))</f>
        <v>0.3</v>
      </c>
      <c r="W14" s="16">
        <f t="array" ref="W14">IF($S14=FALSE(),"",ROUND(INDEX('Team Ratings'!$O$2:$O$73,MATCH($G14,'Team Ratings'!$A$2:$A$73,0))-INDEX('Team Ratings'!$P$2:$P$73,MATCH($H14,'Team Ratings'!$A$2:$A$73,0)),3))</f>
        <v>-1.1000000000000001</v>
      </c>
      <c r="X14" s="16">
        <f t="array" ref="X14">IF($S14=FALSE(),"",ROUND(INDEX('Team Ratings'!$K$2:$K$73,MATCH($G14,'Team Ratings'!$A$2:$A$73,0))-INDEX('Team Ratings'!$J$2:$J$73,MATCH($H14,'Team Ratings'!$A$2:$A$73,0)),3))</f>
        <v>1.2</v>
      </c>
      <c r="Y14" s="16">
        <f t="array" ref="Y14">IF($S14=FALSE(),"",ROUND(MAX(0,MIN(10,5+((INDEX('Team Ratings'!$L$2:$L$73,MATCH($G14,'Team Ratings'!$A$2:$A$73,0))-INDEX('Team Ratings'!$M$2:$M$73,MATCH($H14,'Team Ratings'!$A$2:$A$73,0)))+(INDEX('Team Ratings'!$M$2:$M$73,MATCH($G14,'Team Ratings'!$A$2:$A$73,0))-INDEX('Team Ratings'!$L$2:$L$73,MATCH($H14,'Team Ratings'!$A$2:$A$73,0))))/2)),3))</f>
        <v>5.65</v>
      </c>
      <c r="Z14" s="16">
        <f t="array" ref="Z14">IF($S14=FALSE(),"",ROUND((1/I14)*4 + (INDEX('Team Ratings'!$T$2:$T$73,MATCH($G14,'Team Ratings'!$A$2:$A$73,0))/MAX('Team Ratings'!$T$2:$T$73))*4 + (1-(INDEX('Team Ratings'!$J$2:$J$73,MATCH($G14,'Team Ratings'!$A$2:$A$73,0))/MAX('Team Ratings'!$J$2:$J$73)))*2 + (INDEX('Team Ratings'!$N$2:$N$73,MATCH($G14,'Team Ratings'!$A$2:$A$73,0))/MAX('Team Ratings'!$N$2:$N$73)) + (INDEX('Team Ratings'!$M$2:$M$73,MATCH($G14,'Team Ratings'!$A$2:$A$73,0))/MAX('Team Ratings'!$M$2:$M$73)),2))</f>
        <v>4.8</v>
      </c>
      <c r="AA14" s="16">
        <f t="array" ref="AA14">IF($S14=FALSE(),"",IFERROR(INDEX('Team Ratings'!$Q$2:$Q$73,MATCH($G14,'Team Ratings'!$A$2:$A$73,0)),0))</f>
        <v>0</v>
      </c>
      <c r="AB14" s="16">
        <f t="array" ref="AB14">IF($S14=FALSE(),"",ROUND((0.75*INDEX('Team Ratings'!$G$2:$G$73,MATCH($H14,'Team Ratings'!$A$2:$A$73,0)))+(0.25*INDEX('Team Ratings'!$T$2:$T$73,MATCH($H14,'Team Ratings'!$A$2:$A$73,0))),3))</f>
        <v>13.824999999999999</v>
      </c>
      <c r="AC14" s="16">
        <f t="array" ref="AC14">IF($S14=FALSE(),"",ROUND(INDEX('Team Ratings'!$T$2:$T$73,MATCH($H14,'Team Ratings'!$A$2:$A$73,0))-INDEX('Team Ratings'!$G$2:$G$73,MATCH($H14,'Team Ratings'!$A$2:$A$73,0)),3))</f>
        <v>-15.1</v>
      </c>
      <c r="AD14" s="16">
        <f t="array" ref="AD14">IF($S14=FALSE(),"",ROUND(INDEX('Team Ratings'!$O$2:$O$73,MATCH($H14,'Team Ratings'!$A$2:$A$73,0))-INDEX('Team Ratings'!$P$2:$P$73,MATCH($G14,'Team Ratings'!$A$2:$A$73,0)),3))</f>
        <v>-0.4</v>
      </c>
      <c r="AE14" s="16">
        <f t="array" ref="AE14">IF($S14=FALSE(),"",ROUND(INDEX('Team Ratings'!$K$2:$K$73,MATCH($H14,'Team Ratings'!$A$2:$A$73,0))-INDEX('Team Ratings'!$J$2:$J$73,MATCH($G14,'Team Ratings'!$A$2:$A$73,0)),3))</f>
        <v>-1.9</v>
      </c>
      <c r="AF14" s="16">
        <f t="array" ref="AF14">IF($S14=FALSE(),"",ROUND(MAX(0,MIN(10,5+((INDEX('Team Ratings'!$L$2:$L$73,MATCH($H14,'Team Ratings'!$A$2:$A$73,0))-INDEX('Team Ratings'!$M$2:$M$73,MATCH($G14,'Team Ratings'!$A$2:$A$73,0)))+(INDEX('Team Ratings'!$M$2:$M$73,MATCH($H14,'Team Ratings'!$A$2:$A$73,0))-INDEX('Team Ratings'!$L$2:$L$73,MATCH($G14,'Team Ratings'!$A$2:$A$73,0))))/2)),3))</f>
        <v>4.3499999999999996</v>
      </c>
      <c r="AG14" s="16">
        <f t="array" ref="AG14">IF($S14=FALSE(),"",ROUND((1/J14)*4 + (INDEX('Team Ratings'!$T$2:$T$73,MATCH($H14,'Team Ratings'!$A$2:$A$73,0))/MAX('Team Ratings'!$T$2:$T$73))*4 + (1-(INDEX('Team Ratings'!$J$2:$J$73,MATCH($H14,'Team Ratings'!$A$2:$A$73,0))/MAX('Team Ratings'!$J$2:$J$73)))*2 + (INDEX('Team Ratings'!$N$2:$N$73,MATCH($H14,'Team Ratings'!$A$2:$A$73,0))/MAX('Team Ratings'!$N$2:$N$73)) + (INDEX('Team Ratings'!$M$2:$M$73,MATCH($H14,'Team Ratings'!$A$2:$A$73,0))/MAX('Team Ratings'!$M$2:$M$73)),2))</f>
        <v>2.84</v>
      </c>
      <c r="AH14" s="16">
        <f t="array" ref="AH14">IF($S14=FALSE(),"",IFERROR(INDEX('Team Ratings'!$Q$2:$Q$73,MATCH($H14,'Team Ratings'!$A$2:$A$73,0)),0))</f>
        <v>0</v>
      </c>
      <c r="AI14" s="10" t="b">
        <f t="shared" si="6"/>
        <v>1</v>
      </c>
      <c r="AJ14" s="10"/>
      <c r="AK14" s="10" t="str">
        <f t="shared" si="7"/>
        <v>BYU</v>
      </c>
      <c r="AL14" s="10">
        <v>9</v>
      </c>
    </row>
    <row r="15" spans="1:38" ht="20" customHeight="1" x14ac:dyDescent="0.2">
      <c r="A15" s="14" t="s">
        <v>145</v>
      </c>
      <c r="B15" s="14" t="s">
        <v>201</v>
      </c>
      <c r="C15" s="5">
        <f>_xlfn.SWITCH(B15,
 "Round 1",1,
 "Round 2",2,
 "Sweet 16",3,
 "Elite 8",4,
 "Final Four",5,
 "Championship",6
)*100
+
COUNTIF($B$2:B15,B15)</f>
        <v>114</v>
      </c>
      <c r="D15" s="5" t="s">
        <v>40</v>
      </c>
      <c r="E15" s="5"/>
      <c r="F15" s="5"/>
      <c r="G15" s="5" t="s">
        <v>56</v>
      </c>
      <c r="H15" s="5" t="s">
        <v>42</v>
      </c>
      <c r="I15" s="15">
        <f t="array" ref="I15">IFERROR(INDEX('Team Ratings'!$B$2:$B$73,MATCH($G15,'Team Ratings'!$A$2:$A$73,0)),"")</f>
        <v>14</v>
      </c>
      <c r="J15" s="15">
        <f t="array" ref="J15">IFERROR(INDEX('Team Ratings'!$B$2:$B$73,MATCH($H15,'Team Ratings'!$A$2:$A$73,0)),"")</f>
        <v>3</v>
      </c>
      <c r="K15" s="12">
        <f>IF($S15=FALSE(),"",ROUND((0.35*IFERROR((U15-AVERAGE('Team Metrics'!$X$2:$X$65))/_xlfn.STDEV.P('Team Metrics'!$X$2:$X$65),0)) + (0.2*IFERROR((V15-AVERAGE('Team Metrics'!$W$2:$W$65))/_xlfn.STDEV.P('Team Metrics'!$W$2:$W$65),0)) + (0.15*IFERROR((W15-AVERAGE('Team Metrics'!$Y$2:$Y$65))/_xlfn.STDEV.P('Team Metrics'!$Y$2:$Y$65),0)) + (0.1*IFERROR((X15-AVERAGE('Team Metrics'!$Z$2:$Z$65))/_xlfn.STDEV.P('Team Metrics'!$Z$2:$Z$65),0)) + (0.1*IFERROR((Y15-AVERAGE('Team Metrics'!$AA$2:$AA$65))/_xlfn.STDEV.P('Team Metrics'!$AA$2:$AA$65),0)) + (0.05*IFERROR((Z15-AVERAGE('Team Metrics'!$AB$2:$AB$65))/_xlfn.STDEV.P('Team Metrics'!$AB$2:$AB$65),0)) + (0.05*IFERROR((AA15-AVERAGE('Team Metrics'!$S$2:$S$65))/IF(_xlfn.STDEV.P('Team Metrics'!$S$2:$S$65)=0,1,_xlfn.STDEV.P('Team Metrics'!$S$2:$S$65)),0)),4))</f>
        <v>-0.39500000000000002</v>
      </c>
      <c r="L15" s="12">
        <f>IF($S15=FALSE(),"",ROUND((0.35*IFERROR((AB15-AVERAGE('Team Metrics'!$X$2:$X$65))/_xlfn.STDEV.P('Team Metrics'!$X$2:$X$65),0)) + (0.2*IFERROR((AC15-AVERAGE('Team Metrics'!$W$2:$W$65))/_xlfn.STDEV.P('Team Metrics'!$W$2:$W$65),0)) + (0.15*IFERROR((AD15-AVERAGE('Team Metrics'!$Y$2:$Y$65))/_xlfn.STDEV.P('Team Metrics'!$Y$2:$Y$65),0)) + (0.1*IFERROR((AE15-AVERAGE('Team Metrics'!$Z$2:$Z$65))/_xlfn.STDEV.P('Team Metrics'!$Z$2:$Z$65),0)) + (0.1*IFERROR((AF15-AVERAGE('Team Metrics'!$AA$2:$AA$65))/_xlfn.STDEV.P('Team Metrics'!$AA$2:$AA$65),0)) + (0.05*IFERROR((AG15-AVERAGE('Team Metrics'!$AB$2:$AB$65))/_xlfn.STDEV.P('Team Metrics'!$AB$2:$AB$65),0)) + (0.05*IFERROR((AH15-AVERAGE('Team Metrics'!$S$2:$S$65))/IF(_xlfn.STDEV.P('Team Metrics'!$S$2:$S$65)=0,1,_xlfn.STDEV.P('Team Metrics'!$S$2:$S$65)),0)),4))</f>
        <v>6.7000000000000004E-2</v>
      </c>
      <c r="M15" s="12">
        <f t="shared" si="0"/>
        <v>-0.46200000000000002</v>
      </c>
      <c r="N15" s="10" t="str">
        <f t="shared" si="1"/>
        <v>Gonzaga</v>
      </c>
      <c r="O15" s="7">
        <f t="shared" si="2"/>
        <v>55.5</v>
      </c>
      <c r="P15" s="5" t="str">
        <f t="shared" si="3"/>
        <v/>
      </c>
      <c r="Q15" s="5" t="s">
        <v>146</v>
      </c>
      <c r="R15" s="5" t="s">
        <v>132</v>
      </c>
      <c r="S15" s="10" t="b">
        <f t="shared" si="4"/>
        <v>1</v>
      </c>
      <c r="T15" s="5" t="str">
        <f t="shared" si="5"/>
        <v>ΔComposite=0.46; AdjNET Δ=-24.5; 3PT Δ=2.8; TO Δ=-1.4; REB Δ=6.1</v>
      </c>
      <c r="U15" s="16">
        <f t="array" ref="U15">IF($S15=FALSE(),"",ROUND((0.75*INDEX('Team Ratings'!$G$2:$G$73,MATCH($G15,'Team Ratings'!$A$2:$A$73,0)))+(0.25*INDEX('Team Ratings'!$T$2:$T$73,MATCH($G15,'Team Ratings'!$A$2:$A$73,0))),3))</f>
        <v>1.6</v>
      </c>
      <c r="V15" s="16">
        <f t="array" ref="V15">IF($S15=FALSE(),"",ROUND(INDEX('Team Ratings'!$T$2:$T$73,MATCH($G15,'Team Ratings'!$A$2:$A$73,0))-INDEX('Team Ratings'!$G$2:$G$73,MATCH($G15,'Team Ratings'!$A$2:$A$73,0)),3))</f>
        <v>1.2</v>
      </c>
      <c r="W15" s="16">
        <f t="array" ref="W15">IF($S15=FALSE(),"",ROUND(INDEX('Team Ratings'!$O$2:$O$73,MATCH($G15,'Team Ratings'!$A$2:$A$73,0))-INDEX('Team Ratings'!$P$2:$P$73,MATCH($H15,'Team Ratings'!$A$2:$A$73,0)),3))</f>
        <v>2.9</v>
      </c>
      <c r="X15" s="16">
        <f t="array" ref="X15">IF($S15=FALSE(),"",ROUND(INDEX('Team Ratings'!$K$2:$K$73,MATCH($G15,'Team Ratings'!$A$2:$A$73,0))-INDEX('Team Ratings'!$J$2:$J$73,MATCH($H15,'Team Ratings'!$A$2:$A$73,0)),3))</f>
        <v>2.4</v>
      </c>
      <c r="Y15" s="16">
        <f t="array" ref="Y15">IF($S15=FALSE(),"",ROUND(MAX(0,MIN(10,5+((INDEX('Team Ratings'!$L$2:$L$73,MATCH($G15,'Team Ratings'!$A$2:$A$73,0))-INDEX('Team Ratings'!$M$2:$M$73,MATCH($H15,'Team Ratings'!$A$2:$A$73,0)))+(INDEX('Team Ratings'!$M$2:$M$73,MATCH($G15,'Team Ratings'!$A$2:$A$73,0))-INDEX('Team Ratings'!$L$2:$L$73,MATCH($H15,'Team Ratings'!$A$2:$A$73,0))))/2)),3))</f>
        <v>8.0500000000000007</v>
      </c>
      <c r="Z15" s="16">
        <f t="array" ref="Z15">IF($S15=FALSE(),"",ROUND((1/I15)*4 + (INDEX('Team Ratings'!$T$2:$T$73,MATCH($G15,'Team Ratings'!$A$2:$A$73,0))/MAX('Team Ratings'!$T$2:$T$73))*4 + (1-(INDEX('Team Ratings'!$J$2:$J$73,MATCH($G15,'Team Ratings'!$A$2:$A$73,0))/MAX('Team Ratings'!$J$2:$J$73)))*2 + (INDEX('Team Ratings'!$N$2:$N$73,MATCH($G15,'Team Ratings'!$A$2:$A$73,0))/MAX('Team Ratings'!$N$2:$N$73)) + (INDEX('Team Ratings'!$M$2:$M$73,MATCH($G15,'Team Ratings'!$A$2:$A$73,0))/MAX('Team Ratings'!$M$2:$M$73)),2))</f>
        <v>2.72</v>
      </c>
      <c r="AA15" s="16">
        <f t="array" ref="AA15">IF($S15=FALSE(),"",IFERROR(INDEX('Team Ratings'!$Q$2:$Q$73,MATCH($G15,'Team Ratings'!$A$2:$A$73,0)),0))</f>
        <v>0</v>
      </c>
      <c r="AB15" s="16">
        <f t="array" ref="AB15">IF($S15=FALSE(),"",ROUND((0.75*INDEX('Team Ratings'!$G$2:$G$73,MATCH($H15,'Team Ratings'!$A$2:$A$73,0)))+(0.25*INDEX('Team Ratings'!$T$2:$T$73,MATCH($H15,'Team Ratings'!$A$2:$A$73,0))),3))</f>
        <v>26.05</v>
      </c>
      <c r="AC15" s="16">
        <f t="array" ref="AC15">IF($S15=FALSE(),"",ROUND(INDEX('Team Ratings'!$T$2:$T$73,MATCH($H15,'Team Ratings'!$A$2:$A$73,0))-INDEX('Team Ratings'!$G$2:$G$73,MATCH($H15,'Team Ratings'!$A$2:$A$73,0)),3))</f>
        <v>-1</v>
      </c>
      <c r="AD15" s="16">
        <f t="array" ref="AD15">IF($S15=FALSE(),"",ROUND(INDEX('Team Ratings'!$O$2:$O$73,MATCH($H15,'Team Ratings'!$A$2:$A$73,0))-INDEX('Team Ratings'!$P$2:$P$73,MATCH($G15,'Team Ratings'!$A$2:$A$73,0)),3))</f>
        <v>0.1</v>
      </c>
      <c r="AE15" s="16">
        <f t="array" ref="AE15">IF($S15=FALSE(),"",ROUND(INDEX('Team Ratings'!$K$2:$K$73,MATCH($H15,'Team Ratings'!$A$2:$A$73,0))-INDEX('Team Ratings'!$J$2:$J$73,MATCH($G15,'Team Ratings'!$A$2:$A$73,0)),3))</f>
        <v>3.8</v>
      </c>
      <c r="AF15" s="16">
        <f t="array" ref="AF15">IF($S15=FALSE(),"",ROUND(MAX(0,MIN(10,5+((INDEX('Team Ratings'!$L$2:$L$73,MATCH($H15,'Team Ratings'!$A$2:$A$73,0))-INDEX('Team Ratings'!$M$2:$M$73,MATCH($G15,'Team Ratings'!$A$2:$A$73,0)))+(INDEX('Team Ratings'!$M$2:$M$73,MATCH($H15,'Team Ratings'!$A$2:$A$73,0))-INDEX('Team Ratings'!$L$2:$L$73,MATCH($G15,'Team Ratings'!$A$2:$A$73,0))))/2)),3))</f>
        <v>1.95</v>
      </c>
      <c r="AG15" s="16">
        <f t="array" ref="AG15">IF($S15=FALSE(),"",ROUND((1/J15)*4 + (INDEX('Team Ratings'!$T$2:$T$73,MATCH($H15,'Team Ratings'!$A$2:$A$73,0))/MAX('Team Ratings'!$T$2:$T$73))*4 + (1-(INDEX('Team Ratings'!$J$2:$J$73,MATCH($H15,'Team Ratings'!$A$2:$A$73,0))/MAX('Team Ratings'!$J$2:$J$73)))*2 + (INDEX('Team Ratings'!$N$2:$N$73,MATCH($H15,'Team Ratings'!$A$2:$A$73,0))/MAX('Team Ratings'!$N$2:$N$73)) + (INDEX('Team Ratings'!$M$2:$M$73,MATCH($H15,'Team Ratings'!$A$2:$A$73,0))/MAX('Team Ratings'!$M$2:$M$73)),2))</f>
        <v>5.92</v>
      </c>
      <c r="AH15" s="16">
        <f t="array" ref="AH15">IF($S15=FALSE(),"",IFERROR(INDEX('Team Ratings'!$Q$2:$Q$73,MATCH($H15,'Team Ratings'!$A$2:$A$73,0)),0))</f>
        <v>0</v>
      </c>
      <c r="AI15" s="10" t="b">
        <f t="shared" si="6"/>
        <v>1</v>
      </c>
      <c r="AJ15" s="10"/>
      <c r="AK15" s="10" t="str">
        <f t="shared" si="7"/>
        <v>Gonzaga</v>
      </c>
      <c r="AL15" s="10">
        <v>9</v>
      </c>
    </row>
    <row r="16" spans="1:38" ht="20" customHeight="1" x14ac:dyDescent="0.2">
      <c r="A16" s="14" t="s">
        <v>166</v>
      </c>
      <c r="B16" s="14" t="s">
        <v>201</v>
      </c>
      <c r="C16" s="5">
        <f>_xlfn.SWITCH(B16,
 "Round 1",1,
 "Round 2",2,
 "Sweet 16",3,
 "Elite 8",4,
 "Final Four",5,
 "Championship",6
)*100
+
COUNTIF($B$2:B16,B16)</f>
        <v>115</v>
      </c>
      <c r="D16" s="5" t="s">
        <v>40</v>
      </c>
      <c r="E16" s="5"/>
      <c r="F16" s="5"/>
      <c r="G16" s="5" t="s">
        <v>46</v>
      </c>
      <c r="H16" s="5" t="s">
        <v>49</v>
      </c>
      <c r="I16" s="15">
        <f t="array" ref="I16">IFERROR(INDEX('Team Ratings'!$B$2:$B$73,MATCH($G16,'Team Ratings'!$A$2:$A$73,0)),"")</f>
        <v>7</v>
      </c>
      <c r="J16" s="15">
        <f t="array" ref="J16">IFERROR(INDEX('Team Ratings'!$B$2:$B$73,MATCH($H16,'Team Ratings'!$A$2:$A$73,0)),"")</f>
        <v>10</v>
      </c>
      <c r="K16" s="12">
        <f>IF($S16=FALSE(),"",ROUND((0.35*IFERROR((U16-AVERAGE('Team Metrics'!$X$2:$X$65))/_xlfn.STDEV.P('Team Metrics'!$X$2:$X$65),0)) + (0.2*IFERROR((V16-AVERAGE('Team Metrics'!$W$2:$W$65))/_xlfn.STDEV.P('Team Metrics'!$W$2:$W$65),0)) + (0.15*IFERROR((W16-AVERAGE('Team Metrics'!$Y$2:$Y$65))/_xlfn.STDEV.P('Team Metrics'!$Y$2:$Y$65),0)) + (0.1*IFERROR((X16-AVERAGE('Team Metrics'!$Z$2:$Z$65))/_xlfn.STDEV.P('Team Metrics'!$Z$2:$Z$65),0)) + (0.1*IFERROR((Y16-AVERAGE('Team Metrics'!$AA$2:$AA$65))/_xlfn.STDEV.P('Team Metrics'!$AA$2:$AA$65),0)) + (0.05*IFERROR((Z16-AVERAGE('Team Metrics'!$AB$2:$AB$65))/_xlfn.STDEV.P('Team Metrics'!$AB$2:$AB$65),0)) + (0.05*IFERROR((AA16-AVERAGE('Team Metrics'!$S$2:$S$65))/IF(_xlfn.STDEV.P('Team Metrics'!$S$2:$S$65)=0,1,_xlfn.STDEV.P('Team Metrics'!$S$2:$S$65)),0)),4))</f>
        <v>-0.30819999999999997</v>
      </c>
      <c r="L16" s="12">
        <f>IF($S16=FALSE(),"",ROUND((0.35*IFERROR((AB16-AVERAGE('Team Metrics'!$X$2:$X$65))/_xlfn.STDEV.P('Team Metrics'!$X$2:$X$65),0)) + (0.2*IFERROR((AC16-AVERAGE('Team Metrics'!$W$2:$W$65))/_xlfn.STDEV.P('Team Metrics'!$W$2:$W$65),0)) + (0.15*IFERROR((AD16-AVERAGE('Team Metrics'!$Y$2:$Y$65))/_xlfn.STDEV.P('Team Metrics'!$Y$2:$Y$65),0)) + (0.1*IFERROR((AE16-AVERAGE('Team Metrics'!$Z$2:$Z$65))/_xlfn.STDEV.P('Team Metrics'!$Z$2:$Z$65),0)) + (0.1*IFERROR((AF16-AVERAGE('Team Metrics'!$AA$2:$AA$65))/_xlfn.STDEV.P('Team Metrics'!$AA$2:$AA$65),0)) + (0.05*IFERROR((AG16-AVERAGE('Team Metrics'!$AB$2:$AB$65))/_xlfn.STDEV.P('Team Metrics'!$AB$2:$AB$65),0)) + (0.05*IFERROR((AH16-AVERAGE('Team Metrics'!$S$2:$S$65))/IF(_xlfn.STDEV.P('Team Metrics'!$S$2:$S$65)=0,1,_xlfn.STDEV.P('Team Metrics'!$S$2:$S$65)),0)),4))</f>
        <v>-0.56399999999999995</v>
      </c>
      <c r="M16" s="12">
        <f t="shared" si="0"/>
        <v>0.25580000000000003</v>
      </c>
      <c r="N16" s="10" t="str">
        <f t="shared" si="1"/>
        <v>Miami FL</v>
      </c>
      <c r="O16" s="7">
        <f t="shared" si="2"/>
        <v>53.1</v>
      </c>
      <c r="P16" s="5" t="str">
        <f t="shared" si="3"/>
        <v/>
      </c>
      <c r="Q16" s="5" t="s">
        <v>138</v>
      </c>
      <c r="R16" s="5" t="s">
        <v>123</v>
      </c>
      <c r="S16" s="10" t="b">
        <f t="shared" si="4"/>
        <v>1</v>
      </c>
      <c r="T16" s="5" t="str">
        <f t="shared" si="5"/>
        <v>ΔComposite=0.26; AdjNET Δ=5.5; 3PT Δ=-1.4; TO Δ=0; REB Δ=-3.6</v>
      </c>
      <c r="U16" s="16">
        <f t="array" ref="U16">IF($S16=FALSE(),"",ROUND((0.75*INDEX('Team Ratings'!$G$2:$G$73,MATCH($G16,'Team Ratings'!$A$2:$A$73,0)))+(0.25*INDEX('Team Ratings'!$T$2:$T$73,MATCH($G16,'Team Ratings'!$A$2:$A$73,0))),3))</f>
        <v>19.850000000000001</v>
      </c>
      <c r="V16" s="16">
        <f t="array" ref="V16">IF($S16=FALSE(),"",ROUND(INDEX('Team Ratings'!$T$2:$T$73,MATCH($G16,'Team Ratings'!$A$2:$A$73,0))-INDEX('Team Ratings'!$G$2:$G$73,MATCH($G16,'Team Ratings'!$A$2:$A$73,0)),3))</f>
        <v>1</v>
      </c>
      <c r="W16" s="16">
        <f t="array" ref="W16">IF($S16=FALSE(),"",ROUND(INDEX('Team Ratings'!$O$2:$O$73,MATCH($G16,'Team Ratings'!$A$2:$A$73,0))-INDEX('Team Ratings'!$P$2:$P$73,MATCH($H16,'Team Ratings'!$A$2:$A$73,0)),3))</f>
        <v>-1.8</v>
      </c>
      <c r="X16" s="16">
        <f t="array" ref="X16">IF($S16=FALSE(),"",ROUND(INDEX('Team Ratings'!$K$2:$K$73,MATCH($G16,'Team Ratings'!$A$2:$A$73,0))-INDEX('Team Ratings'!$J$2:$J$73,MATCH($H16,'Team Ratings'!$A$2:$A$73,0)),3))</f>
        <v>0.4</v>
      </c>
      <c r="Y16" s="16">
        <f t="array" ref="Y16">IF($S16=FALSE(),"",ROUND(MAX(0,MIN(10,5+((INDEX('Team Ratings'!$L$2:$L$73,MATCH($G16,'Team Ratings'!$A$2:$A$73,0))-INDEX('Team Ratings'!$M$2:$M$73,MATCH($H16,'Team Ratings'!$A$2:$A$73,0)))+(INDEX('Team Ratings'!$M$2:$M$73,MATCH($G16,'Team Ratings'!$A$2:$A$73,0))-INDEX('Team Ratings'!$L$2:$L$73,MATCH($H16,'Team Ratings'!$A$2:$A$73,0))))/2)),3))</f>
        <v>3.2</v>
      </c>
      <c r="Z16" s="16">
        <f t="array" ref="Z16">IF($S16=FALSE(),"",ROUND((1/I16)*4 + (INDEX('Team Ratings'!$T$2:$T$73,MATCH($G16,'Team Ratings'!$A$2:$A$73,0))/MAX('Team Ratings'!$T$2:$T$73))*4 + (1-(INDEX('Team Ratings'!$J$2:$J$73,MATCH($G16,'Team Ratings'!$A$2:$A$73,0))/MAX('Team Ratings'!$J$2:$J$73)))*2 + (INDEX('Team Ratings'!$N$2:$N$73,MATCH($G16,'Team Ratings'!$A$2:$A$73,0))/MAX('Team Ratings'!$N$2:$N$73)) + (INDEX('Team Ratings'!$M$2:$M$73,MATCH($G16,'Team Ratings'!$A$2:$A$73,0))/MAX('Team Ratings'!$M$2:$M$73)),2))</f>
        <v>4.58</v>
      </c>
      <c r="AA16" s="16">
        <f t="array" ref="AA16">IF($S16=FALSE(),"",IFERROR(INDEX('Team Ratings'!$Q$2:$Q$73,MATCH($G16,'Team Ratings'!$A$2:$A$73,0)),0))</f>
        <v>0</v>
      </c>
      <c r="AB16" s="16">
        <f t="array" ref="AB16">IF($S16=FALSE(),"",ROUND((0.75*INDEX('Team Ratings'!$G$2:$G$73,MATCH($H16,'Team Ratings'!$A$2:$A$73,0)))+(0.25*INDEX('Team Ratings'!$T$2:$T$73,MATCH($H16,'Team Ratings'!$A$2:$A$73,0))),3))</f>
        <v>14.4</v>
      </c>
      <c r="AC16" s="16">
        <f t="array" ref="AC16">IF($S16=FALSE(),"",ROUND(INDEX('Team Ratings'!$T$2:$T$73,MATCH($H16,'Team Ratings'!$A$2:$A$73,0))-INDEX('Team Ratings'!$G$2:$G$73,MATCH($H16,'Team Ratings'!$A$2:$A$73,0)),3))</f>
        <v>-10</v>
      </c>
      <c r="AD16" s="16">
        <f t="array" ref="AD16">IF($S16=FALSE(),"",ROUND(INDEX('Team Ratings'!$O$2:$O$73,MATCH($H16,'Team Ratings'!$A$2:$A$73,0))-INDEX('Team Ratings'!$P$2:$P$73,MATCH($G16,'Team Ratings'!$A$2:$A$73,0)),3))</f>
        <v>-0.4</v>
      </c>
      <c r="AE16" s="16">
        <f t="array" ref="AE16">IF($S16=FALSE(),"",ROUND(INDEX('Team Ratings'!$K$2:$K$73,MATCH($H16,'Team Ratings'!$A$2:$A$73,0))-INDEX('Team Ratings'!$J$2:$J$73,MATCH($G16,'Team Ratings'!$A$2:$A$73,0)),3))</f>
        <v>0.4</v>
      </c>
      <c r="AF16" s="16">
        <f t="array" ref="AF16">IF($S16=FALSE(),"",ROUND(MAX(0,MIN(10,5+((INDEX('Team Ratings'!$L$2:$L$73,MATCH($H16,'Team Ratings'!$A$2:$A$73,0))-INDEX('Team Ratings'!$M$2:$M$73,MATCH($G16,'Team Ratings'!$A$2:$A$73,0)))+(INDEX('Team Ratings'!$M$2:$M$73,MATCH($H16,'Team Ratings'!$A$2:$A$73,0))-INDEX('Team Ratings'!$L$2:$L$73,MATCH($G16,'Team Ratings'!$A$2:$A$73,0))))/2)),3))</f>
        <v>6.8</v>
      </c>
      <c r="AG16" s="16">
        <f t="array" ref="AG16">IF($S16=FALSE(),"",ROUND((1/J16)*4 + (INDEX('Team Ratings'!$T$2:$T$73,MATCH($H16,'Team Ratings'!$A$2:$A$73,0))/MAX('Team Ratings'!$T$2:$T$73))*4 + (1-(INDEX('Team Ratings'!$J$2:$J$73,MATCH($H16,'Team Ratings'!$A$2:$A$73,0))/MAX('Team Ratings'!$J$2:$J$73)))*2 + (INDEX('Team Ratings'!$N$2:$N$73,MATCH($H16,'Team Ratings'!$A$2:$A$73,0))/MAX('Team Ratings'!$N$2:$N$73)) + (INDEX('Team Ratings'!$M$2:$M$73,MATCH($H16,'Team Ratings'!$A$2:$A$73,0))/MAX('Team Ratings'!$M$2:$M$73)),2))</f>
        <v>3.1</v>
      </c>
      <c r="AH16" s="16">
        <f t="array" ref="AH16">IF($S16=FALSE(),"",IFERROR(INDEX('Team Ratings'!$Q$2:$Q$73,MATCH($H16,'Team Ratings'!$A$2:$A$73,0)),0))</f>
        <v>0</v>
      </c>
      <c r="AI16" s="10" t="b">
        <f t="shared" si="6"/>
        <v>1</v>
      </c>
      <c r="AJ16" s="10"/>
      <c r="AK16" s="10" t="str">
        <f t="shared" si="7"/>
        <v>Miami FL</v>
      </c>
      <c r="AL16" s="10">
        <v>9</v>
      </c>
    </row>
    <row r="17" spans="1:38" ht="20" customHeight="1" x14ac:dyDescent="0.2">
      <c r="A17" s="14" t="s">
        <v>137</v>
      </c>
      <c r="B17" s="14" t="s">
        <v>201</v>
      </c>
      <c r="C17" s="5">
        <f>_xlfn.SWITCH(B17,
 "Round 1",1,
 "Round 2",2,
 "Sweet 16",3,
 "Elite 8",4,
 "Final Four",5,
 "Championship",6
)*100
+
COUNTIF($B$2:B17,B17)</f>
        <v>116</v>
      </c>
      <c r="D17" s="5" t="s">
        <v>40</v>
      </c>
      <c r="E17" s="5"/>
      <c r="F17" s="5"/>
      <c r="G17" s="5" t="s">
        <v>57</v>
      </c>
      <c r="H17" s="5" t="s">
        <v>41</v>
      </c>
      <c r="I17" s="15">
        <f t="array" ref="I17">IFERROR(INDEX('Team Ratings'!$B$2:$B$73,MATCH($G17,'Team Ratings'!$A$2:$A$73,0)),"")</f>
        <v>15</v>
      </c>
      <c r="J17" s="15">
        <f t="array" ref="J17">IFERROR(INDEX('Team Ratings'!$B$2:$B$73,MATCH($H17,'Team Ratings'!$A$2:$A$73,0)),"")</f>
        <v>2</v>
      </c>
      <c r="K17" s="12">
        <f>IF($S17=FALSE(),"",ROUND((0.35*IFERROR((U17-AVERAGE('Team Metrics'!$X$2:$X$65))/_xlfn.STDEV.P('Team Metrics'!$X$2:$X$65),0)) + (0.2*IFERROR((V17-AVERAGE('Team Metrics'!$W$2:$W$65))/_xlfn.STDEV.P('Team Metrics'!$W$2:$W$65),0)) + (0.15*IFERROR((W17-AVERAGE('Team Metrics'!$Y$2:$Y$65))/_xlfn.STDEV.P('Team Metrics'!$Y$2:$Y$65),0)) + (0.1*IFERROR((X17-AVERAGE('Team Metrics'!$Z$2:$Z$65))/_xlfn.STDEV.P('Team Metrics'!$Z$2:$Z$65),0)) + (0.1*IFERROR((Y17-AVERAGE('Team Metrics'!$AA$2:$AA$65))/_xlfn.STDEV.P('Team Metrics'!$AA$2:$AA$65),0)) + (0.05*IFERROR((Z17-AVERAGE('Team Metrics'!$AB$2:$AB$65))/_xlfn.STDEV.P('Team Metrics'!$AB$2:$AB$65),0)) + (0.05*IFERROR((AA17-AVERAGE('Team Metrics'!$S$2:$S$65))/IF(_xlfn.STDEV.P('Team Metrics'!$S$2:$S$65)=0,1,_xlfn.STDEV.P('Team Metrics'!$S$2:$S$65)),0)),4))</f>
        <v>-0.39379999999999998</v>
      </c>
      <c r="L17" s="12">
        <f>IF($S17=FALSE(),"",ROUND((0.35*IFERROR((AB17-AVERAGE('Team Metrics'!$X$2:$X$65))/_xlfn.STDEV.P('Team Metrics'!$X$2:$X$65),0)) + (0.2*IFERROR((AC17-AVERAGE('Team Metrics'!$W$2:$W$65))/_xlfn.STDEV.P('Team Metrics'!$W$2:$W$65),0)) + (0.15*IFERROR((AD17-AVERAGE('Team Metrics'!$Y$2:$Y$65))/_xlfn.STDEV.P('Team Metrics'!$Y$2:$Y$65),0)) + (0.1*IFERROR((AE17-AVERAGE('Team Metrics'!$Z$2:$Z$65))/_xlfn.STDEV.P('Team Metrics'!$Z$2:$Z$65),0)) + (0.1*IFERROR((AF17-AVERAGE('Team Metrics'!$AA$2:$AA$65))/_xlfn.STDEV.P('Team Metrics'!$AA$2:$AA$65),0)) + (0.05*IFERROR((AG17-AVERAGE('Team Metrics'!$AB$2:$AB$65))/_xlfn.STDEV.P('Team Metrics'!$AB$2:$AB$65),0)) + (0.05*IFERROR((AH17-AVERAGE('Team Metrics'!$S$2:$S$65))/IF(_xlfn.STDEV.P('Team Metrics'!$S$2:$S$65)=0,1,_xlfn.STDEV.P('Team Metrics'!$S$2:$S$65)),0)),4))</f>
        <v>0.54210000000000003</v>
      </c>
      <c r="M17" s="12">
        <f t="shared" si="0"/>
        <v>-0.93589999999999995</v>
      </c>
      <c r="N17" s="10" t="str">
        <f t="shared" si="1"/>
        <v>Purdue</v>
      </c>
      <c r="O17" s="7">
        <f t="shared" si="2"/>
        <v>61.2</v>
      </c>
      <c r="P17" s="5" t="str">
        <f t="shared" si="3"/>
        <v/>
      </c>
      <c r="Q17" s="5" t="s">
        <v>138</v>
      </c>
      <c r="R17" s="5" t="s">
        <v>132</v>
      </c>
      <c r="S17" s="10" t="b">
        <f t="shared" si="4"/>
        <v>1</v>
      </c>
      <c r="T17" s="5" t="str">
        <f t="shared" si="5"/>
        <v>ΔComposite=0.94; AdjNET Δ=-33.3; 3PT Δ=-0.4; TO Δ=0.7; REB Δ=0.7</v>
      </c>
      <c r="U17" s="16">
        <f t="array" ref="U17">IF($S17=FALSE(),"",ROUND((0.75*INDEX('Team Ratings'!$G$2:$G$73,MATCH($G17,'Team Ratings'!$A$2:$A$73,0)))+(0.25*INDEX('Team Ratings'!$T$2:$T$73,MATCH($G17,'Team Ratings'!$A$2:$A$73,0))),3))</f>
        <v>0.3</v>
      </c>
      <c r="V17" s="16">
        <f t="array" ref="V17">IF($S17=FALSE(),"",ROUND(INDEX('Team Ratings'!$T$2:$T$73,MATCH($G17,'Team Ratings'!$A$2:$A$73,0))-INDEX('Team Ratings'!$G$2:$G$73,MATCH($G17,'Team Ratings'!$A$2:$A$73,0)),3))</f>
        <v>10.8</v>
      </c>
      <c r="W17" s="16">
        <f t="array" ref="W17">IF($S17=FALSE(),"",ROUND(INDEX('Team Ratings'!$O$2:$O$73,MATCH($G17,'Team Ratings'!$A$2:$A$73,0))-INDEX('Team Ratings'!$P$2:$P$73,MATCH($H17,'Team Ratings'!$A$2:$A$73,0)),3))</f>
        <v>1.7</v>
      </c>
      <c r="X17" s="16">
        <f t="array" ref="X17">IF($S17=FALSE(),"",ROUND(INDEX('Team Ratings'!$K$2:$K$73,MATCH($G17,'Team Ratings'!$A$2:$A$73,0))-INDEX('Team Ratings'!$J$2:$J$73,MATCH($H17,'Team Ratings'!$A$2:$A$73,0)),3))</f>
        <v>1.5</v>
      </c>
      <c r="Y17" s="16">
        <f t="array" ref="Y17">IF($S17=FALSE(),"",ROUND(MAX(0,MIN(10,5+((INDEX('Team Ratings'!$L$2:$L$73,MATCH($G17,'Team Ratings'!$A$2:$A$73,0))-INDEX('Team Ratings'!$M$2:$M$73,MATCH($H17,'Team Ratings'!$A$2:$A$73,0)))+(INDEX('Team Ratings'!$M$2:$M$73,MATCH($G17,'Team Ratings'!$A$2:$A$73,0))-INDEX('Team Ratings'!$L$2:$L$73,MATCH($H17,'Team Ratings'!$A$2:$A$73,0))))/2)),3))</f>
        <v>5.35</v>
      </c>
      <c r="Z17" s="16">
        <f t="array" ref="Z17">IF($S17=FALSE(),"",ROUND((1/I17)*4 + (INDEX('Team Ratings'!$T$2:$T$73,MATCH($G17,'Team Ratings'!$A$2:$A$73,0))/MAX('Team Ratings'!$T$2:$T$73))*4 + (1-(INDEX('Team Ratings'!$J$2:$J$73,MATCH($G17,'Team Ratings'!$A$2:$A$73,0))/MAX('Team Ratings'!$J$2:$J$73)))*2 + (INDEX('Team Ratings'!$N$2:$N$73,MATCH($G17,'Team Ratings'!$A$2:$A$73,0))/MAX('Team Ratings'!$N$2:$N$73)) + (INDEX('Team Ratings'!$M$2:$M$73,MATCH($G17,'Team Ratings'!$A$2:$A$73,0))/MAX('Team Ratings'!$M$2:$M$73)),2))</f>
        <v>3.35</v>
      </c>
      <c r="AA17" s="16">
        <f t="array" ref="AA17">IF($S17=FALSE(),"",IFERROR(INDEX('Team Ratings'!$Q$2:$Q$73,MATCH($G17,'Team Ratings'!$A$2:$A$73,0)),0))</f>
        <v>0</v>
      </c>
      <c r="AB17" s="16">
        <f t="array" ref="AB17">IF($S17=FALSE(),"",ROUND((0.75*INDEX('Team Ratings'!$G$2:$G$73,MATCH($H17,'Team Ratings'!$A$2:$A$73,0)))+(0.25*INDEX('Team Ratings'!$T$2:$T$73,MATCH($H17,'Team Ratings'!$A$2:$A$73,0))),3))</f>
        <v>33.549999999999997</v>
      </c>
      <c r="AC17" s="16">
        <f t="array" ref="AC17">IF($S17=FALSE(),"",ROUND(INDEX('Team Ratings'!$T$2:$T$73,MATCH($H17,'Team Ratings'!$A$2:$A$73,0))-INDEX('Team Ratings'!$G$2:$G$73,MATCH($H17,'Team Ratings'!$A$2:$A$73,0)),3))</f>
        <v>2.2000000000000002</v>
      </c>
      <c r="AD17" s="16">
        <f t="array" ref="AD17">IF($S17=FALSE(),"",ROUND(INDEX('Team Ratings'!$O$2:$O$73,MATCH($H17,'Team Ratings'!$A$2:$A$73,0))-INDEX('Team Ratings'!$P$2:$P$73,MATCH($G17,'Team Ratings'!$A$2:$A$73,0)),3))</f>
        <v>2.1</v>
      </c>
      <c r="AE17" s="16">
        <f t="array" ref="AE17">IF($S17=FALSE(),"",ROUND(INDEX('Team Ratings'!$K$2:$K$73,MATCH($H17,'Team Ratings'!$A$2:$A$73,0))-INDEX('Team Ratings'!$J$2:$J$73,MATCH($G17,'Team Ratings'!$A$2:$A$73,0)),3))</f>
        <v>0.8</v>
      </c>
      <c r="AF17" s="16">
        <f t="array" ref="AF17">IF($S17=FALSE(),"",ROUND(MAX(0,MIN(10,5+((INDEX('Team Ratings'!$L$2:$L$73,MATCH($H17,'Team Ratings'!$A$2:$A$73,0))-INDEX('Team Ratings'!$M$2:$M$73,MATCH($G17,'Team Ratings'!$A$2:$A$73,0)))+(INDEX('Team Ratings'!$M$2:$M$73,MATCH($H17,'Team Ratings'!$A$2:$A$73,0))-INDEX('Team Ratings'!$L$2:$L$73,MATCH($G17,'Team Ratings'!$A$2:$A$73,0))))/2)),3))</f>
        <v>4.6500000000000004</v>
      </c>
      <c r="AG17" s="16">
        <f t="array" ref="AG17">IF($S17=FALSE(),"",ROUND((1/J17)*4 + (INDEX('Team Ratings'!$T$2:$T$73,MATCH($H17,'Team Ratings'!$A$2:$A$73,0))/MAX('Team Ratings'!$T$2:$T$73))*4 + (1-(INDEX('Team Ratings'!$J$2:$J$73,MATCH($H17,'Team Ratings'!$A$2:$A$73,0))/MAX('Team Ratings'!$J$2:$J$73)))*2 + (INDEX('Team Ratings'!$N$2:$N$73,MATCH($H17,'Team Ratings'!$A$2:$A$73,0))/MAX('Team Ratings'!$N$2:$N$73)) + (INDEX('Team Ratings'!$M$2:$M$73,MATCH($H17,'Team Ratings'!$A$2:$A$73,0))/MAX('Team Ratings'!$M$2:$M$73)),2))</f>
        <v>7.57</v>
      </c>
      <c r="AH17" s="16">
        <f t="array" ref="AH17">IF($S17=FALSE(),"",IFERROR(INDEX('Team Ratings'!$Q$2:$Q$73,MATCH($H17,'Team Ratings'!$A$2:$A$73,0)),0))</f>
        <v>0</v>
      </c>
      <c r="AI17" s="10" t="b">
        <f t="shared" si="6"/>
        <v>1</v>
      </c>
      <c r="AJ17" s="10"/>
      <c r="AK17" s="10" t="str">
        <f t="shared" si="7"/>
        <v>Purdue</v>
      </c>
      <c r="AL17" s="10">
        <v>9</v>
      </c>
    </row>
    <row r="18" spans="1:38" ht="20" customHeight="1" x14ac:dyDescent="0.2">
      <c r="A18" s="14" t="s">
        <v>126</v>
      </c>
      <c r="B18" s="14" t="s">
        <v>201</v>
      </c>
      <c r="C18" s="5">
        <f>_xlfn.SWITCH(B18,
 "Round 1",1,
 "Round 2",2,
 "Sweet 16",3,
 "Elite 8",4,
 "Final Four",5,
 "Championship",6
)*100
+
COUNTIF($B$2:B18,B18)</f>
        <v>117</v>
      </c>
      <c r="D18" s="5" t="s">
        <v>60</v>
      </c>
      <c r="E18" s="5"/>
      <c r="F18" s="5"/>
      <c r="G18" s="5" t="s">
        <v>77</v>
      </c>
      <c r="H18" s="5" t="s">
        <v>59</v>
      </c>
      <c r="I18" s="15">
        <f t="array" ref="I18">IFERROR(INDEX('Team Ratings'!$B$2:$B$73,MATCH($G18,'Team Ratings'!$A$2:$A$73,0)),"")</f>
        <v>16</v>
      </c>
      <c r="J18" s="15">
        <f t="array" ref="J18">IFERROR(INDEX('Team Ratings'!$B$2:$B$73,MATCH($H18,'Team Ratings'!$A$2:$A$73,0)),"")</f>
        <v>1</v>
      </c>
      <c r="K18" s="12">
        <f>IF($S18=FALSE(),"",ROUND((0.35*IFERROR((U18-AVERAGE('Team Metrics'!$X$2:$X$65))/_xlfn.STDEV.P('Team Metrics'!$X$2:$X$65),0)) + (0.2*IFERROR((V18-AVERAGE('Team Metrics'!$W$2:$W$65))/_xlfn.STDEV.P('Team Metrics'!$W$2:$W$65),0)) + (0.15*IFERROR((W18-AVERAGE('Team Metrics'!$Y$2:$Y$65))/_xlfn.STDEV.P('Team Metrics'!$Y$2:$Y$65),0)) + (0.1*IFERROR((X18-AVERAGE('Team Metrics'!$Z$2:$Z$65))/_xlfn.STDEV.P('Team Metrics'!$Z$2:$Z$65),0)) + (0.1*IFERROR((Y18-AVERAGE('Team Metrics'!$AA$2:$AA$65))/_xlfn.STDEV.P('Team Metrics'!$AA$2:$AA$65),0)) + (0.05*IFERROR((Z18-AVERAGE('Team Metrics'!$AB$2:$AB$65))/_xlfn.STDEV.P('Team Metrics'!$AB$2:$AB$65),0)) + (0.05*IFERROR((AA18-AVERAGE('Team Metrics'!$S$2:$S$65))/IF(_xlfn.STDEV.P('Team Metrics'!$S$2:$S$65)=0,1,_xlfn.STDEV.P('Team Metrics'!$S$2:$S$65)),0)),4))</f>
        <v>-0.66459999999999997</v>
      </c>
      <c r="L18" s="12">
        <f>IF($S18=FALSE(),"",ROUND((0.35*IFERROR((AB18-AVERAGE('Team Metrics'!$X$2:$X$65))/_xlfn.STDEV.P('Team Metrics'!$X$2:$X$65),0)) + (0.2*IFERROR((AC18-AVERAGE('Team Metrics'!$W$2:$W$65))/_xlfn.STDEV.P('Team Metrics'!$W$2:$W$65),0)) + (0.15*IFERROR((AD18-AVERAGE('Team Metrics'!$Y$2:$Y$65))/_xlfn.STDEV.P('Team Metrics'!$Y$2:$Y$65),0)) + (0.1*IFERROR((AE18-AVERAGE('Team Metrics'!$Z$2:$Z$65))/_xlfn.STDEV.P('Team Metrics'!$Z$2:$Z$65),0)) + (0.1*IFERROR((AF18-AVERAGE('Team Metrics'!$AA$2:$AA$65))/_xlfn.STDEV.P('Team Metrics'!$AA$2:$AA$65),0)) + (0.05*IFERROR((AG18-AVERAGE('Team Metrics'!$AB$2:$AB$65))/_xlfn.STDEV.P('Team Metrics'!$AB$2:$AB$65),0)) + (0.05*IFERROR((AH18-AVERAGE('Team Metrics'!$S$2:$S$65))/IF(_xlfn.STDEV.P('Team Metrics'!$S$2:$S$65)=0,1,_xlfn.STDEV.P('Team Metrics'!$S$2:$S$65)),0)),4))</f>
        <v>2.9899999999999999E-2</v>
      </c>
      <c r="M18" s="12">
        <f t="shared" si="0"/>
        <v>-0.69450000000000001</v>
      </c>
      <c r="N18" s="10" t="str">
        <f t="shared" si="1"/>
        <v>Florida</v>
      </c>
      <c r="O18" s="7">
        <f t="shared" si="2"/>
        <v>58.3</v>
      </c>
      <c r="P18" s="5" t="str">
        <f t="shared" si="3"/>
        <v/>
      </c>
      <c r="Q18" s="5" t="s">
        <v>127</v>
      </c>
      <c r="R18" s="5" t="s">
        <v>123</v>
      </c>
      <c r="S18" s="10" t="b">
        <f t="shared" si="4"/>
        <v>1</v>
      </c>
      <c r="T18" s="5" t="str">
        <f t="shared" si="5"/>
        <v>ΔComposite=0.69; AdjNET Δ=-38.7; 3PT Δ=5; TO Δ=3.2; REB Δ=-6.1</v>
      </c>
      <c r="U18" s="16">
        <f t="array" ref="U18">IF($S18=FALSE(),"",ROUND((0.75*INDEX('Team Ratings'!$G$2:$G$73,MATCH($G18,'Team Ratings'!$A$2:$A$73,0)))+(0.25*INDEX('Team Ratings'!$T$2:$T$73,MATCH($G18,'Team Ratings'!$A$2:$A$73,0))),3))</f>
        <v>-6.3</v>
      </c>
      <c r="V18" s="16">
        <f t="array" ref="V18">IF($S18=FALSE(),"",ROUND(INDEX('Team Ratings'!$T$2:$T$73,MATCH($G18,'Team Ratings'!$A$2:$A$73,0))-INDEX('Team Ratings'!$G$2:$G$73,MATCH($G18,'Team Ratings'!$A$2:$A$73,0)),3))</f>
        <v>14.4</v>
      </c>
      <c r="W18" s="16">
        <f t="array" ref="W18">IF($S18=FALSE(),"",ROUND(INDEX('Team Ratings'!$O$2:$O$73,MATCH($G18,'Team Ratings'!$A$2:$A$73,0))-INDEX('Team Ratings'!$P$2:$P$73,MATCH($H18,'Team Ratings'!$A$2:$A$73,0)),3))</f>
        <v>0.8</v>
      </c>
      <c r="X18" s="16">
        <f t="array" ref="X18">IF($S18=FALSE(),"",ROUND(INDEX('Team Ratings'!$K$2:$K$73,MATCH($G18,'Team Ratings'!$A$2:$A$73,0))-INDEX('Team Ratings'!$J$2:$J$73,MATCH($H18,'Team Ratings'!$A$2:$A$73,0)),3))</f>
        <v>2.6</v>
      </c>
      <c r="Y18" s="16">
        <f t="array" ref="Y18">IF($S18=FALSE(),"",ROUND(MAX(0,MIN(10,5+((INDEX('Team Ratings'!$L$2:$L$73,MATCH($G18,'Team Ratings'!$A$2:$A$73,0))-INDEX('Team Ratings'!$M$2:$M$73,MATCH($H18,'Team Ratings'!$A$2:$A$73,0)))+(INDEX('Team Ratings'!$M$2:$M$73,MATCH($G18,'Team Ratings'!$A$2:$A$73,0))-INDEX('Team Ratings'!$L$2:$L$73,MATCH($H18,'Team Ratings'!$A$2:$A$73,0))))/2)),3))</f>
        <v>1.95</v>
      </c>
      <c r="Z18" s="16">
        <f t="array" ref="Z18">IF($S18=FALSE(),"",ROUND((1/I18)*4 + (INDEX('Team Ratings'!$T$2:$T$73,MATCH($G18,'Team Ratings'!$A$2:$A$73,0))/MAX('Team Ratings'!$T$2:$T$73))*4 + (1-(INDEX('Team Ratings'!$J$2:$J$73,MATCH($G18,'Team Ratings'!$A$2:$A$73,0))/MAX('Team Ratings'!$J$2:$J$73)))*2 + (INDEX('Team Ratings'!$N$2:$N$73,MATCH($G18,'Team Ratings'!$A$2:$A$73,0))/MAX('Team Ratings'!$N$2:$N$73)) + (INDEX('Team Ratings'!$M$2:$M$73,MATCH($G18,'Team Ratings'!$A$2:$A$73,0))/MAX('Team Ratings'!$M$2:$M$73)),2))</f>
        <v>3.01</v>
      </c>
      <c r="AA18" s="16">
        <f t="array" ref="AA18">IF($S18=FALSE(),"",IFERROR(INDEX('Team Ratings'!$Q$2:$Q$73,MATCH($G18,'Team Ratings'!$A$2:$A$73,0)),0))</f>
        <v>0</v>
      </c>
      <c r="AB18" s="16">
        <f t="array" ref="AB18">IF($S18=FALSE(),"",ROUND((0.75*INDEX('Team Ratings'!$G$2:$G$73,MATCH($H18,'Team Ratings'!$A$2:$A$73,0)))+(0.25*INDEX('Team Ratings'!$T$2:$T$73,MATCH($H18,'Team Ratings'!$A$2:$A$73,0))),3))</f>
        <v>32.424999999999997</v>
      </c>
      <c r="AC18" s="16">
        <f t="array" ref="AC18">IF($S18=FALSE(),"",ROUND(INDEX('Team Ratings'!$T$2:$T$73,MATCH($H18,'Team Ratings'!$A$2:$A$73,0))-INDEX('Team Ratings'!$G$2:$G$73,MATCH($H18,'Team Ratings'!$A$2:$A$73,0)),3))</f>
        <v>-5.5</v>
      </c>
      <c r="AD18" s="16">
        <f t="array" ref="AD18">IF($S18=FALSE(),"",ROUND(INDEX('Team Ratings'!$O$2:$O$73,MATCH($H18,'Team Ratings'!$A$2:$A$73,0))-INDEX('Team Ratings'!$P$2:$P$73,MATCH($G18,'Team Ratings'!$A$2:$A$73,0)),3))</f>
        <v>-4.2</v>
      </c>
      <c r="AE18" s="16">
        <f t="array" ref="AE18">IF($S18=FALSE(),"",ROUND(INDEX('Team Ratings'!$K$2:$K$73,MATCH($H18,'Team Ratings'!$A$2:$A$73,0))-INDEX('Team Ratings'!$J$2:$J$73,MATCH($G18,'Team Ratings'!$A$2:$A$73,0)),3))</f>
        <v>-0.6</v>
      </c>
      <c r="AF18" s="16">
        <f t="array" ref="AF18">IF($S18=FALSE(),"",ROUND(MAX(0,MIN(10,5+((INDEX('Team Ratings'!$L$2:$L$73,MATCH($H18,'Team Ratings'!$A$2:$A$73,0))-INDEX('Team Ratings'!$M$2:$M$73,MATCH($G18,'Team Ratings'!$A$2:$A$73,0)))+(INDEX('Team Ratings'!$M$2:$M$73,MATCH($H18,'Team Ratings'!$A$2:$A$73,0))-INDEX('Team Ratings'!$L$2:$L$73,MATCH($G18,'Team Ratings'!$A$2:$A$73,0))))/2)),3))</f>
        <v>8.0500000000000007</v>
      </c>
      <c r="AG18" s="16">
        <f t="array" ref="AG18">IF($S18=FALSE(),"",ROUND((1/J18)*4 + (INDEX('Team Ratings'!$T$2:$T$73,MATCH($H18,'Team Ratings'!$A$2:$A$73,0))/MAX('Team Ratings'!$T$2:$T$73))*4 + (1-(INDEX('Team Ratings'!$J$2:$J$73,MATCH($H18,'Team Ratings'!$A$2:$A$73,0))/MAX('Team Ratings'!$J$2:$J$73)))*2 + (INDEX('Team Ratings'!$N$2:$N$73,MATCH($H18,'Team Ratings'!$A$2:$A$73,0))/MAX('Team Ratings'!$N$2:$N$73)) + (INDEX('Team Ratings'!$M$2:$M$73,MATCH($H18,'Team Ratings'!$A$2:$A$73,0))/MAX('Team Ratings'!$M$2:$M$73)),2))</f>
        <v>8.75</v>
      </c>
      <c r="AH18" s="16">
        <f t="array" ref="AH18">IF($S18=FALSE(),"",IFERROR(INDEX('Team Ratings'!$Q$2:$Q$73,MATCH($H18,'Team Ratings'!$A$2:$A$73,0)),0))</f>
        <v>0</v>
      </c>
      <c r="AI18" s="10" t="b">
        <f t="shared" si="6"/>
        <v>1</v>
      </c>
      <c r="AJ18" s="10"/>
      <c r="AK18" s="10" t="str">
        <f t="shared" si="7"/>
        <v>Florida</v>
      </c>
      <c r="AL18" s="10">
        <v>9</v>
      </c>
    </row>
    <row r="19" spans="1:38" ht="20" customHeight="1" x14ac:dyDescent="0.2">
      <c r="A19" s="14" t="s">
        <v>169</v>
      </c>
      <c r="B19" s="14" t="s">
        <v>201</v>
      </c>
      <c r="C19" s="5">
        <f>_xlfn.SWITCH(B19,
 "Round 1",1,
 "Round 2",2,
 "Sweet 16",3,
 "Elite 8",4,
 "Final Four",5,
 "Championship",6
)*100
+
COUNTIF($B$2:B19,B19)</f>
        <v>118</v>
      </c>
      <c r="D19" s="5" t="s">
        <v>60</v>
      </c>
      <c r="E19" s="5"/>
      <c r="F19" s="5"/>
      <c r="G19" s="5" t="s">
        <v>67</v>
      </c>
      <c r="H19" s="5" t="s">
        <v>68</v>
      </c>
      <c r="I19" s="15">
        <f t="array" ref="I19">IFERROR(INDEX('Team Ratings'!$B$2:$B$73,MATCH($G19,'Team Ratings'!$A$2:$A$73,0)),"")</f>
        <v>8</v>
      </c>
      <c r="J19" s="15">
        <f t="array" ref="J19">IFERROR(INDEX('Team Ratings'!$B$2:$B$73,MATCH($H19,'Team Ratings'!$A$2:$A$73,0)),"")</f>
        <v>9</v>
      </c>
      <c r="K19" s="12">
        <f>IF($S19=FALSE(),"",ROUND((0.35*IFERROR((U19-AVERAGE('Team Metrics'!$X$2:$X$65))/_xlfn.STDEV.P('Team Metrics'!$X$2:$X$65),0)) + (0.2*IFERROR((V19-AVERAGE('Team Metrics'!$W$2:$W$65))/_xlfn.STDEV.P('Team Metrics'!$W$2:$W$65),0)) + (0.15*IFERROR((W19-AVERAGE('Team Metrics'!$Y$2:$Y$65))/_xlfn.STDEV.P('Team Metrics'!$Y$2:$Y$65),0)) + (0.1*IFERROR((X19-AVERAGE('Team Metrics'!$Z$2:$Z$65))/_xlfn.STDEV.P('Team Metrics'!$Z$2:$Z$65),0)) + (0.1*IFERROR((Y19-AVERAGE('Team Metrics'!$AA$2:$AA$65))/_xlfn.STDEV.P('Team Metrics'!$AA$2:$AA$65),0)) + (0.05*IFERROR((Z19-AVERAGE('Team Metrics'!$AB$2:$AB$65))/_xlfn.STDEV.P('Team Metrics'!$AB$2:$AB$65),0)) + (0.05*IFERROR((AA19-AVERAGE('Team Metrics'!$S$2:$S$65))/IF(_xlfn.STDEV.P('Team Metrics'!$S$2:$S$65)=0,1,_xlfn.STDEV.P('Team Metrics'!$S$2:$S$65)),0)),4))</f>
        <v>-0.17249999999999999</v>
      </c>
      <c r="L19" s="12">
        <f>IF($S19=FALSE(),"",ROUND((0.35*IFERROR((AB19-AVERAGE('Team Metrics'!$X$2:$X$65))/_xlfn.STDEV.P('Team Metrics'!$X$2:$X$65),0)) + (0.2*IFERROR((AC19-AVERAGE('Team Metrics'!$W$2:$W$65))/_xlfn.STDEV.P('Team Metrics'!$W$2:$W$65),0)) + (0.15*IFERROR((AD19-AVERAGE('Team Metrics'!$Y$2:$Y$65))/_xlfn.STDEV.P('Team Metrics'!$Y$2:$Y$65),0)) + (0.1*IFERROR((AE19-AVERAGE('Team Metrics'!$Z$2:$Z$65))/_xlfn.STDEV.P('Team Metrics'!$Z$2:$Z$65),0)) + (0.1*IFERROR((AF19-AVERAGE('Team Metrics'!$AA$2:$AA$65))/_xlfn.STDEV.P('Team Metrics'!$AA$2:$AA$65),0)) + (0.05*IFERROR((AG19-AVERAGE('Team Metrics'!$AB$2:$AB$65))/_xlfn.STDEV.P('Team Metrics'!$AB$2:$AB$65),0)) + (0.05*IFERROR((AH19-AVERAGE('Team Metrics'!$S$2:$S$65))/IF(_xlfn.STDEV.P('Team Metrics'!$S$2:$S$65)=0,1,_xlfn.STDEV.P('Team Metrics'!$S$2:$S$65)),0)),4))</f>
        <v>0.3301</v>
      </c>
      <c r="M19" s="12">
        <f t="shared" si="0"/>
        <v>-0.50260000000000005</v>
      </c>
      <c r="N19" s="10" t="str">
        <f t="shared" si="1"/>
        <v>Iowa</v>
      </c>
      <c r="O19" s="7">
        <f t="shared" si="2"/>
        <v>56</v>
      </c>
      <c r="P19" s="5" t="str">
        <f t="shared" si="3"/>
        <v>UPSET</v>
      </c>
      <c r="Q19" s="5" t="s">
        <v>127</v>
      </c>
      <c r="R19" s="5" t="s">
        <v>132</v>
      </c>
      <c r="S19" s="10" t="b">
        <f t="shared" si="4"/>
        <v>1</v>
      </c>
      <c r="T19" s="5" t="str">
        <f t="shared" si="5"/>
        <v>ΔComposite=0.5; AdjNET Δ=-2; 3PT Δ=-2.7; TO Δ=-4.5; REB Δ=-4.3</v>
      </c>
      <c r="U19" s="16">
        <f t="array" ref="U19">IF($S19=FALSE(),"",ROUND((0.75*INDEX('Team Ratings'!$G$2:$G$73,MATCH($G19,'Team Ratings'!$A$2:$A$73,0)))+(0.25*INDEX('Team Ratings'!$T$2:$T$73,MATCH($G19,'Team Ratings'!$A$2:$A$73,0))),3))</f>
        <v>19.425000000000001</v>
      </c>
      <c r="V19" s="16">
        <f t="array" ref="V19">IF($S19=FALSE(),"",ROUND(INDEX('Team Ratings'!$T$2:$T$73,MATCH($G19,'Team Ratings'!$A$2:$A$73,0))-INDEX('Team Ratings'!$G$2:$G$73,MATCH($G19,'Team Ratings'!$A$2:$A$73,0)),3))</f>
        <v>-0.7</v>
      </c>
      <c r="W19" s="16">
        <f t="array" ref="W19">IF($S19=FALSE(),"",ROUND(INDEX('Team Ratings'!$O$2:$O$73,MATCH($G19,'Team Ratings'!$A$2:$A$73,0))-INDEX('Team Ratings'!$P$2:$P$73,MATCH($H19,'Team Ratings'!$A$2:$A$73,0)),3))</f>
        <v>0.4</v>
      </c>
      <c r="X19" s="16">
        <f t="array" ref="X19">IF($S19=FALSE(),"",ROUND(INDEX('Team Ratings'!$K$2:$K$73,MATCH($G19,'Team Ratings'!$A$2:$A$73,0))-INDEX('Team Ratings'!$J$2:$J$73,MATCH($H19,'Team Ratings'!$A$2:$A$73,0)),3))</f>
        <v>2.2999999999999998</v>
      </c>
      <c r="Y19" s="16">
        <f t="array" ref="Y19">IF($S19=FALSE(),"",ROUND(MAX(0,MIN(10,5+((INDEX('Team Ratings'!$L$2:$L$73,MATCH($G19,'Team Ratings'!$A$2:$A$73,0))-INDEX('Team Ratings'!$M$2:$M$73,MATCH($H19,'Team Ratings'!$A$2:$A$73,0)))+(INDEX('Team Ratings'!$M$2:$M$73,MATCH($G19,'Team Ratings'!$A$2:$A$73,0))-INDEX('Team Ratings'!$L$2:$L$73,MATCH($H19,'Team Ratings'!$A$2:$A$73,0))))/2)),3))</f>
        <v>2.85</v>
      </c>
      <c r="Z19" s="16">
        <f t="array" ref="Z19">IF($S19=FALSE(),"",ROUND((1/I19)*4 + (INDEX('Team Ratings'!$T$2:$T$73,MATCH($G19,'Team Ratings'!$A$2:$A$73,0))/MAX('Team Ratings'!$T$2:$T$73))*4 + (1-(INDEX('Team Ratings'!$J$2:$J$73,MATCH($G19,'Team Ratings'!$A$2:$A$73,0))/MAX('Team Ratings'!$J$2:$J$73)))*2 + (INDEX('Team Ratings'!$N$2:$N$73,MATCH($G19,'Team Ratings'!$A$2:$A$73,0))/MAX('Team Ratings'!$N$2:$N$73)) + (INDEX('Team Ratings'!$M$2:$M$73,MATCH($G19,'Team Ratings'!$A$2:$A$73,0))/MAX('Team Ratings'!$M$2:$M$73)),2))</f>
        <v>4.51</v>
      </c>
      <c r="AA19" s="16">
        <f t="array" ref="AA19">IF($S19=FALSE(),"",IFERROR(INDEX('Team Ratings'!$Q$2:$Q$73,MATCH($G19,'Team Ratings'!$A$2:$A$73,0)),0))</f>
        <v>0</v>
      </c>
      <c r="AB19" s="16">
        <f t="array" ref="AB19">IF($S19=FALSE(),"",ROUND((0.75*INDEX('Team Ratings'!$G$2:$G$73,MATCH($H19,'Team Ratings'!$A$2:$A$73,0)))+(0.25*INDEX('Team Ratings'!$T$2:$T$73,MATCH($H19,'Team Ratings'!$A$2:$A$73,0))),3))</f>
        <v>21.4</v>
      </c>
      <c r="AC19" s="16">
        <f t="array" ref="AC19">IF($S19=FALSE(),"",ROUND(INDEX('Team Ratings'!$T$2:$T$73,MATCH($H19,'Team Ratings'!$A$2:$A$73,0))-INDEX('Team Ratings'!$G$2:$G$73,MATCH($H19,'Team Ratings'!$A$2:$A$73,0)),3))</f>
        <v>-2</v>
      </c>
      <c r="AD19" s="16">
        <f t="array" ref="AD19">IF($S19=FALSE(),"",ROUND(INDEX('Team Ratings'!$O$2:$O$73,MATCH($H19,'Team Ratings'!$A$2:$A$73,0))-INDEX('Team Ratings'!$P$2:$P$73,MATCH($G19,'Team Ratings'!$A$2:$A$73,0)),3))</f>
        <v>3.1</v>
      </c>
      <c r="AE19" s="16">
        <f t="array" ref="AE19">IF($S19=FALSE(),"",ROUND(INDEX('Team Ratings'!$K$2:$K$73,MATCH($H19,'Team Ratings'!$A$2:$A$73,0))-INDEX('Team Ratings'!$J$2:$J$73,MATCH($G19,'Team Ratings'!$A$2:$A$73,0)),3))</f>
        <v>6.8</v>
      </c>
      <c r="AF19" s="16">
        <f t="array" ref="AF19">IF($S19=FALSE(),"",ROUND(MAX(0,MIN(10,5+((INDEX('Team Ratings'!$L$2:$L$73,MATCH($H19,'Team Ratings'!$A$2:$A$73,0))-INDEX('Team Ratings'!$M$2:$M$73,MATCH($G19,'Team Ratings'!$A$2:$A$73,0)))+(INDEX('Team Ratings'!$M$2:$M$73,MATCH($H19,'Team Ratings'!$A$2:$A$73,0))-INDEX('Team Ratings'!$L$2:$L$73,MATCH($G19,'Team Ratings'!$A$2:$A$73,0))))/2)),3))</f>
        <v>7.15</v>
      </c>
      <c r="AG19" s="16">
        <f t="array" ref="AG19">IF($S19=FALSE(),"",ROUND((1/J19)*4 + (INDEX('Team Ratings'!$T$2:$T$73,MATCH($H19,'Team Ratings'!$A$2:$A$73,0))/MAX('Team Ratings'!$T$2:$T$73))*4 + (1-(INDEX('Team Ratings'!$J$2:$J$73,MATCH($H19,'Team Ratings'!$A$2:$A$73,0))/MAX('Team Ratings'!$J$2:$J$73)))*2 + (INDEX('Team Ratings'!$N$2:$N$73,MATCH($H19,'Team Ratings'!$A$2:$A$73,0))/MAX('Team Ratings'!$N$2:$N$73)) + (INDEX('Team Ratings'!$M$2:$M$73,MATCH($H19,'Team Ratings'!$A$2:$A$73,0))/MAX('Team Ratings'!$M$2:$M$73)),2))</f>
        <v>4.47</v>
      </c>
      <c r="AH19" s="16">
        <f t="array" ref="AH19">IF($S19=FALSE(),"",IFERROR(INDEX('Team Ratings'!$Q$2:$Q$73,MATCH($H19,'Team Ratings'!$A$2:$A$73,0)),0))</f>
        <v>0</v>
      </c>
      <c r="AI19" s="10" t="b">
        <f t="shared" si="6"/>
        <v>1</v>
      </c>
      <c r="AJ19" s="10"/>
      <c r="AK19" s="10" t="str">
        <f t="shared" si="7"/>
        <v>Iowa</v>
      </c>
      <c r="AL19" s="10">
        <v>9</v>
      </c>
    </row>
    <row r="20" spans="1:38" ht="20" customHeight="1" x14ac:dyDescent="0.2">
      <c r="A20" s="14" t="s">
        <v>157</v>
      </c>
      <c r="B20" s="14" t="s">
        <v>201</v>
      </c>
      <c r="C20" s="5">
        <f>_xlfn.SWITCH(B20,
 "Round 1",1,
 "Round 2",2,
 "Sweet 16",3,
 "Elite 8",4,
 "Final Four",5,
 "Championship",6
)*100
+
COUNTIF($B$2:B20,B20)</f>
        <v>119</v>
      </c>
      <c r="D20" s="5" t="s">
        <v>60</v>
      </c>
      <c r="E20" s="5"/>
      <c r="F20" s="5"/>
      <c r="G20" s="5" t="s">
        <v>71</v>
      </c>
      <c r="H20" s="5" t="s">
        <v>64</v>
      </c>
      <c r="I20" s="15">
        <f t="array" ref="I20">IFERROR(INDEX('Team Ratings'!$B$2:$B$73,MATCH($G20,'Team Ratings'!$A$2:$A$73,0)),"")</f>
        <v>12</v>
      </c>
      <c r="J20" s="15">
        <f t="array" ref="J20">IFERROR(INDEX('Team Ratings'!$B$2:$B$73,MATCH($H20,'Team Ratings'!$A$2:$A$73,0)),"")</f>
        <v>5</v>
      </c>
      <c r="K20" s="12">
        <f>IF($S20=FALSE(),"",ROUND((0.35*IFERROR((U20-AVERAGE('Team Metrics'!$X$2:$X$65))/_xlfn.STDEV.P('Team Metrics'!$X$2:$X$65),0)) + (0.2*IFERROR((V20-AVERAGE('Team Metrics'!$W$2:$W$65))/_xlfn.STDEV.P('Team Metrics'!$W$2:$W$65),0)) + (0.15*IFERROR((W20-AVERAGE('Team Metrics'!$Y$2:$Y$65))/_xlfn.STDEV.P('Team Metrics'!$Y$2:$Y$65),0)) + (0.1*IFERROR((X20-AVERAGE('Team Metrics'!$Z$2:$Z$65))/_xlfn.STDEV.P('Team Metrics'!$Z$2:$Z$65),0)) + (0.1*IFERROR((Y20-AVERAGE('Team Metrics'!$AA$2:$AA$65))/_xlfn.STDEV.P('Team Metrics'!$AA$2:$AA$65),0)) + (0.05*IFERROR((Z20-AVERAGE('Team Metrics'!$AB$2:$AB$65))/_xlfn.STDEV.P('Team Metrics'!$AB$2:$AB$65),0)) + (0.05*IFERROR((AA20-AVERAGE('Team Metrics'!$S$2:$S$65))/IF(_xlfn.STDEV.P('Team Metrics'!$S$2:$S$65)=0,1,_xlfn.STDEV.P('Team Metrics'!$S$2:$S$65)),0)),4))</f>
        <v>0.2898</v>
      </c>
      <c r="L20" s="12">
        <f>IF($S20=FALSE(),"",ROUND((0.35*IFERROR((AB20-AVERAGE('Team Metrics'!$X$2:$X$65))/_xlfn.STDEV.P('Team Metrics'!$X$2:$X$65),0)) + (0.2*IFERROR((AC20-AVERAGE('Team Metrics'!$W$2:$W$65))/_xlfn.STDEV.P('Team Metrics'!$W$2:$W$65),0)) + (0.15*IFERROR((AD20-AVERAGE('Team Metrics'!$Y$2:$Y$65))/_xlfn.STDEV.P('Team Metrics'!$Y$2:$Y$65),0)) + (0.1*IFERROR((AE20-AVERAGE('Team Metrics'!$Z$2:$Z$65))/_xlfn.STDEV.P('Team Metrics'!$Z$2:$Z$65),0)) + (0.1*IFERROR((AF20-AVERAGE('Team Metrics'!$AA$2:$AA$65))/_xlfn.STDEV.P('Team Metrics'!$AA$2:$AA$65),0)) + (0.05*IFERROR((AG20-AVERAGE('Team Metrics'!$AB$2:$AB$65))/_xlfn.STDEV.P('Team Metrics'!$AB$2:$AB$65),0)) + (0.05*IFERROR((AH20-AVERAGE('Team Metrics'!$S$2:$S$65))/IF(_xlfn.STDEV.P('Team Metrics'!$S$2:$S$65)=0,1,_xlfn.STDEV.P('Team Metrics'!$S$2:$S$65)),0)),4))</f>
        <v>0.58450000000000002</v>
      </c>
      <c r="M20" s="12">
        <f t="shared" si="0"/>
        <v>-0.29470000000000002</v>
      </c>
      <c r="N20" s="10" t="str">
        <f t="shared" si="1"/>
        <v>Vanderbilt</v>
      </c>
      <c r="O20" s="7">
        <f t="shared" si="2"/>
        <v>53.5</v>
      </c>
      <c r="P20" s="5" t="str">
        <f t="shared" si="3"/>
        <v/>
      </c>
      <c r="Q20" s="5" t="s">
        <v>152</v>
      </c>
      <c r="R20" s="5" t="s">
        <v>123</v>
      </c>
      <c r="S20" s="10" t="b">
        <f t="shared" si="4"/>
        <v>1</v>
      </c>
      <c r="T20" s="5" t="str">
        <f t="shared" si="5"/>
        <v>ΔComposite=0.29; AdjNET Δ=-16.9; 3PT Δ=-3.6; TO Δ=7.7; REB Δ=7.2</v>
      </c>
      <c r="U20" s="16">
        <f t="array" ref="U20">IF($S20=FALSE(),"",ROUND((0.75*INDEX('Team Ratings'!$G$2:$G$73,MATCH($G20,'Team Ratings'!$A$2:$A$73,0)))+(0.25*INDEX('Team Ratings'!$T$2:$T$73,MATCH($G20,'Team Ratings'!$A$2:$A$73,0))),3))</f>
        <v>13.2</v>
      </c>
      <c r="V20" s="16">
        <f t="array" ref="V20">IF($S20=FALSE(),"",ROUND(INDEX('Team Ratings'!$T$2:$T$73,MATCH($G20,'Team Ratings'!$A$2:$A$73,0))-INDEX('Team Ratings'!$G$2:$G$73,MATCH($G20,'Team Ratings'!$A$2:$A$73,0)),3))</f>
        <v>8.4</v>
      </c>
      <c r="W20" s="16">
        <f t="array" ref="W20">IF($S20=FALSE(),"",ROUND(INDEX('Team Ratings'!$O$2:$O$73,MATCH($G20,'Team Ratings'!$A$2:$A$73,0))-INDEX('Team Ratings'!$P$2:$P$73,MATCH($H20,'Team Ratings'!$A$2:$A$73,0)),3))</f>
        <v>-0.6</v>
      </c>
      <c r="X20" s="16">
        <f t="array" ref="X20">IF($S20=FALSE(),"",ROUND(INDEX('Team Ratings'!$K$2:$K$73,MATCH($G20,'Team Ratings'!$A$2:$A$73,0))-INDEX('Team Ratings'!$J$2:$J$73,MATCH($H20,'Team Ratings'!$A$2:$A$73,0)),3))</f>
        <v>11.3</v>
      </c>
      <c r="Y20" s="16">
        <f t="array" ref="Y20">IF($S20=FALSE(),"",ROUND(MAX(0,MIN(10,5+((INDEX('Team Ratings'!$L$2:$L$73,MATCH($G20,'Team Ratings'!$A$2:$A$73,0))-INDEX('Team Ratings'!$M$2:$M$73,MATCH($H20,'Team Ratings'!$A$2:$A$73,0)))+(INDEX('Team Ratings'!$M$2:$M$73,MATCH($G20,'Team Ratings'!$A$2:$A$73,0))-INDEX('Team Ratings'!$L$2:$L$73,MATCH($H20,'Team Ratings'!$A$2:$A$73,0))))/2)),3))</f>
        <v>8.6</v>
      </c>
      <c r="Z20" s="16">
        <f t="array" ref="Z20">IF($S20=FALSE(),"",ROUND((1/I20)*4 + (INDEX('Team Ratings'!$T$2:$T$73,MATCH($G20,'Team Ratings'!$A$2:$A$73,0))/MAX('Team Ratings'!$T$2:$T$73))*4 + (1-(INDEX('Team Ratings'!$J$2:$J$73,MATCH($G20,'Team Ratings'!$A$2:$A$73,0))/MAX('Team Ratings'!$J$2:$J$73)))*2 + (INDEX('Team Ratings'!$N$2:$N$73,MATCH($G20,'Team Ratings'!$A$2:$A$73,0))/MAX('Team Ratings'!$N$2:$N$73)) + (INDEX('Team Ratings'!$M$2:$M$73,MATCH($G20,'Team Ratings'!$A$2:$A$73,0))/MAX('Team Ratings'!$M$2:$M$73)),2))</f>
        <v>4.6900000000000004</v>
      </c>
      <c r="AA20" s="16">
        <f t="array" ref="AA20">IF($S20=FALSE(),"",IFERROR(INDEX('Team Ratings'!$Q$2:$Q$73,MATCH($G20,'Team Ratings'!$A$2:$A$73,0)),0))</f>
        <v>0</v>
      </c>
      <c r="AB20" s="16">
        <f t="array" ref="AB20">IF($S20=FALSE(),"",ROUND((0.75*INDEX('Team Ratings'!$G$2:$G$73,MATCH($H20,'Team Ratings'!$A$2:$A$73,0)))+(0.25*INDEX('Team Ratings'!$T$2:$T$73,MATCH($H20,'Team Ratings'!$A$2:$A$73,0))),3))</f>
        <v>30.074999999999999</v>
      </c>
      <c r="AC20" s="16">
        <f t="array" ref="AC20">IF($S20=FALSE(),"",ROUND(INDEX('Team Ratings'!$T$2:$T$73,MATCH($H20,'Team Ratings'!$A$2:$A$73,0))-INDEX('Team Ratings'!$G$2:$G$73,MATCH($H20,'Team Ratings'!$A$2:$A$73,0)),3))</f>
        <v>7.9</v>
      </c>
      <c r="AD20" s="16">
        <f t="array" ref="AD20">IF($S20=FALSE(),"",ROUND(INDEX('Team Ratings'!$O$2:$O$73,MATCH($H20,'Team Ratings'!$A$2:$A$73,0))-INDEX('Team Ratings'!$P$2:$P$73,MATCH($G20,'Team Ratings'!$A$2:$A$73,0)),3))</f>
        <v>3</v>
      </c>
      <c r="AE20" s="16">
        <f t="array" ref="AE20">IF($S20=FALSE(),"",ROUND(INDEX('Team Ratings'!$K$2:$K$73,MATCH($H20,'Team Ratings'!$A$2:$A$73,0))-INDEX('Team Ratings'!$J$2:$J$73,MATCH($G20,'Team Ratings'!$A$2:$A$73,0)),3))</f>
        <v>3.6</v>
      </c>
      <c r="AF20" s="16">
        <f t="array" ref="AF20">IF($S20=FALSE(),"",ROUND(MAX(0,MIN(10,5+((INDEX('Team Ratings'!$L$2:$L$73,MATCH($H20,'Team Ratings'!$A$2:$A$73,0))-INDEX('Team Ratings'!$M$2:$M$73,MATCH($G20,'Team Ratings'!$A$2:$A$73,0)))+(INDEX('Team Ratings'!$M$2:$M$73,MATCH($H20,'Team Ratings'!$A$2:$A$73,0))-INDEX('Team Ratings'!$L$2:$L$73,MATCH($G20,'Team Ratings'!$A$2:$A$73,0))))/2)),3))</f>
        <v>1.4</v>
      </c>
      <c r="AG20" s="16">
        <f t="array" ref="AG20">IF($S20=FALSE(),"",ROUND((1/J20)*4 + (INDEX('Team Ratings'!$T$2:$T$73,MATCH($H20,'Team Ratings'!$A$2:$A$73,0))/MAX('Team Ratings'!$T$2:$T$73))*4 + (1-(INDEX('Team Ratings'!$J$2:$J$73,MATCH($H20,'Team Ratings'!$A$2:$A$73,0))/MAX('Team Ratings'!$J$2:$J$73)))*2 + (INDEX('Team Ratings'!$N$2:$N$73,MATCH($H20,'Team Ratings'!$A$2:$A$73,0))/MAX('Team Ratings'!$N$2:$N$73)) + (INDEX('Team Ratings'!$M$2:$M$73,MATCH($H20,'Team Ratings'!$A$2:$A$73,0))/MAX('Team Ratings'!$M$2:$M$73)),2))</f>
        <v>6.82</v>
      </c>
      <c r="AH20" s="16">
        <f t="array" ref="AH20">IF($S20=FALSE(),"",IFERROR(INDEX('Team Ratings'!$Q$2:$Q$73,MATCH($H20,'Team Ratings'!$A$2:$A$73,0)),0))</f>
        <v>0</v>
      </c>
      <c r="AI20" s="10" t="b">
        <f t="shared" si="6"/>
        <v>1</v>
      </c>
      <c r="AJ20" s="10"/>
      <c r="AK20" s="10" t="str">
        <f t="shared" si="7"/>
        <v>Vanderbilt</v>
      </c>
      <c r="AL20" s="10">
        <v>9</v>
      </c>
    </row>
    <row r="21" spans="1:38" ht="20" customHeight="1" x14ac:dyDescent="0.2">
      <c r="A21" s="14" t="s">
        <v>151</v>
      </c>
      <c r="B21" s="14" t="s">
        <v>201</v>
      </c>
      <c r="C21" s="5">
        <f>_xlfn.SWITCH(B21,
 "Round 1",1,
 "Round 2",2,
 "Sweet 16",3,
 "Elite 8",4,
 "Final Four",5,
 "Championship",6
)*100
+
COUNTIF($B$2:B21,B21)</f>
        <v>120</v>
      </c>
      <c r="D21" s="5" t="s">
        <v>60</v>
      </c>
      <c r="E21" s="5"/>
      <c r="F21" s="5"/>
      <c r="G21" s="5" t="s">
        <v>63</v>
      </c>
      <c r="H21" s="5" t="s">
        <v>72</v>
      </c>
      <c r="I21" s="15">
        <f t="array" ref="I21">IFERROR(INDEX('Team Ratings'!$B$2:$B$73,MATCH($G21,'Team Ratings'!$A$2:$A$73,0)),"")</f>
        <v>4</v>
      </c>
      <c r="J21" s="15">
        <f t="array" ref="J21">IFERROR(INDEX('Team Ratings'!$B$2:$B$73,MATCH($H21,'Team Ratings'!$A$2:$A$73,0)),"")</f>
        <v>13</v>
      </c>
      <c r="K21" s="12">
        <f>IF($S21=FALSE(),"",ROUND((0.35*IFERROR((U21-AVERAGE('Team Metrics'!$X$2:$X$65))/_xlfn.STDEV.P('Team Metrics'!$X$2:$X$65),0)) + (0.2*IFERROR((V21-AVERAGE('Team Metrics'!$W$2:$W$65))/_xlfn.STDEV.P('Team Metrics'!$W$2:$W$65),0)) + (0.15*IFERROR((W21-AVERAGE('Team Metrics'!$Y$2:$Y$65))/_xlfn.STDEV.P('Team Metrics'!$Y$2:$Y$65),0)) + (0.1*IFERROR((X21-AVERAGE('Team Metrics'!$Z$2:$Z$65))/_xlfn.STDEV.P('Team Metrics'!$Z$2:$Z$65),0)) + (0.1*IFERROR((Y21-AVERAGE('Team Metrics'!$AA$2:$AA$65))/_xlfn.STDEV.P('Team Metrics'!$AA$2:$AA$65),0)) + (0.05*IFERROR((Z21-AVERAGE('Team Metrics'!$AB$2:$AB$65))/_xlfn.STDEV.P('Team Metrics'!$AB$2:$AB$65),0)) + (0.05*IFERROR((AA21-AVERAGE('Team Metrics'!$S$2:$S$65))/IF(_xlfn.STDEV.P('Team Metrics'!$S$2:$S$65)=0,1,_xlfn.STDEV.P('Team Metrics'!$S$2:$S$65)),0)),4))</f>
        <v>-0.39939999999999998</v>
      </c>
      <c r="L21" s="12">
        <f>IF($S21=FALSE(),"",ROUND((0.35*IFERROR((AB21-AVERAGE('Team Metrics'!$X$2:$X$65))/_xlfn.STDEV.P('Team Metrics'!$X$2:$X$65),0)) + (0.2*IFERROR((AC21-AVERAGE('Team Metrics'!$W$2:$W$65))/_xlfn.STDEV.P('Team Metrics'!$W$2:$W$65),0)) + (0.15*IFERROR((AD21-AVERAGE('Team Metrics'!$Y$2:$Y$65))/_xlfn.STDEV.P('Team Metrics'!$Y$2:$Y$65),0)) + (0.1*IFERROR((AE21-AVERAGE('Team Metrics'!$Z$2:$Z$65))/_xlfn.STDEV.P('Team Metrics'!$Z$2:$Z$65),0)) + (0.1*IFERROR((AF21-AVERAGE('Team Metrics'!$AA$2:$AA$65))/_xlfn.STDEV.P('Team Metrics'!$AA$2:$AA$65),0)) + (0.05*IFERROR((AG21-AVERAGE('Team Metrics'!$AB$2:$AB$65))/_xlfn.STDEV.P('Team Metrics'!$AB$2:$AB$65),0)) + (0.05*IFERROR((AH21-AVERAGE('Team Metrics'!$S$2:$S$65))/IF(_xlfn.STDEV.P('Team Metrics'!$S$2:$S$65)=0,1,_xlfn.STDEV.P('Team Metrics'!$S$2:$S$65)),0)),4))</f>
        <v>0.11899999999999999</v>
      </c>
      <c r="M21" s="12">
        <f t="shared" si="0"/>
        <v>-0.51839999999999997</v>
      </c>
      <c r="N21" s="10" t="str">
        <f t="shared" si="1"/>
        <v>Troy</v>
      </c>
      <c r="O21" s="7">
        <f t="shared" si="2"/>
        <v>56.2</v>
      </c>
      <c r="P21" s="5" t="str">
        <f t="shared" si="3"/>
        <v>UPSET</v>
      </c>
      <c r="Q21" s="5" t="s">
        <v>152</v>
      </c>
      <c r="R21" s="5" t="s">
        <v>132</v>
      </c>
      <c r="S21" s="10" t="b">
        <f t="shared" si="4"/>
        <v>1</v>
      </c>
      <c r="T21" s="5" t="str">
        <f t="shared" si="5"/>
        <v>ΔComposite=0.52; AdjNET Δ=14.9; 3PT Δ=0.7; TO Δ=-0.3; REB Δ=-10</v>
      </c>
      <c r="U21" s="16">
        <f t="array" ref="U21">IF($S21=FALSE(),"",ROUND((0.75*INDEX('Team Ratings'!$G$2:$G$73,MATCH($G21,'Team Ratings'!$A$2:$A$73,0)))+(0.25*INDEX('Team Ratings'!$T$2:$T$73,MATCH($G21,'Team Ratings'!$A$2:$A$73,0))),3))</f>
        <v>19.850000000000001</v>
      </c>
      <c r="V21" s="16">
        <f t="array" ref="V21">IF($S21=FALSE(),"",ROUND(INDEX('Team Ratings'!$T$2:$T$73,MATCH($G21,'Team Ratings'!$A$2:$A$73,0))-INDEX('Team Ratings'!$G$2:$G$73,MATCH($G21,'Team Ratings'!$A$2:$A$73,0)),3))</f>
        <v>-15.4</v>
      </c>
      <c r="W21" s="16">
        <f t="array" ref="W21">IF($S21=FALSE(),"",ROUND(INDEX('Team Ratings'!$O$2:$O$73,MATCH($G21,'Team Ratings'!$A$2:$A$73,0))-INDEX('Team Ratings'!$P$2:$P$73,MATCH($H21,'Team Ratings'!$A$2:$A$73,0)),3))</f>
        <v>4</v>
      </c>
      <c r="X21" s="16">
        <f t="array" ref="X21">IF($S21=FALSE(),"",ROUND(INDEX('Team Ratings'!$K$2:$K$73,MATCH($G21,'Team Ratings'!$A$2:$A$73,0))-INDEX('Team Ratings'!$J$2:$J$73,MATCH($H21,'Team Ratings'!$A$2:$A$73,0)),3))</f>
        <v>2.2000000000000002</v>
      </c>
      <c r="Y21" s="16">
        <f t="array" ref="Y21">IF($S21=FALSE(),"",ROUND(MAX(0,MIN(10,5+((INDEX('Team Ratings'!$L$2:$L$73,MATCH($G21,'Team Ratings'!$A$2:$A$73,0))-INDEX('Team Ratings'!$M$2:$M$73,MATCH($H21,'Team Ratings'!$A$2:$A$73,0)))+(INDEX('Team Ratings'!$M$2:$M$73,MATCH($G21,'Team Ratings'!$A$2:$A$73,0))-INDEX('Team Ratings'!$L$2:$L$73,MATCH($H21,'Team Ratings'!$A$2:$A$73,0))))/2)),3))</f>
        <v>0</v>
      </c>
      <c r="Z21" s="16">
        <f t="array" ref="Z21">IF($S21=FALSE(),"",ROUND((1/I21)*4 + (INDEX('Team Ratings'!$T$2:$T$73,MATCH($G21,'Team Ratings'!$A$2:$A$73,0))/MAX('Team Ratings'!$T$2:$T$73))*4 + (1-(INDEX('Team Ratings'!$J$2:$J$73,MATCH($G21,'Team Ratings'!$A$2:$A$73,0))/MAX('Team Ratings'!$J$2:$J$73)))*2 + (INDEX('Team Ratings'!$N$2:$N$73,MATCH($G21,'Team Ratings'!$A$2:$A$73,0))/MAX('Team Ratings'!$N$2:$N$73)) + (INDEX('Team Ratings'!$M$2:$M$73,MATCH($G21,'Team Ratings'!$A$2:$A$73,0))/MAX('Team Ratings'!$M$2:$M$73)),2))</f>
        <v>3.76</v>
      </c>
      <c r="AA21" s="16">
        <f t="array" ref="AA21">IF($S21=FALSE(),"",IFERROR(INDEX('Team Ratings'!$Q$2:$Q$73,MATCH($G21,'Team Ratings'!$A$2:$A$73,0)),0))</f>
        <v>0</v>
      </c>
      <c r="AB21" s="16">
        <f t="array" ref="AB21">IF($S21=FALSE(),"",ROUND((0.75*INDEX('Team Ratings'!$G$2:$G$73,MATCH($H21,'Team Ratings'!$A$2:$A$73,0)))+(0.25*INDEX('Team Ratings'!$T$2:$T$73,MATCH($H21,'Team Ratings'!$A$2:$A$73,0))),3))</f>
        <v>5</v>
      </c>
      <c r="AC21" s="16">
        <f t="array" ref="AC21">IF($S21=FALSE(),"",ROUND(INDEX('Team Ratings'!$T$2:$T$73,MATCH($H21,'Team Ratings'!$A$2:$A$73,0))-INDEX('Team Ratings'!$G$2:$G$73,MATCH($H21,'Team Ratings'!$A$2:$A$73,0)),3))</f>
        <v>13.2</v>
      </c>
      <c r="AD21" s="16">
        <f t="array" ref="AD21">IF($S21=FALSE(),"",ROUND(INDEX('Team Ratings'!$O$2:$O$73,MATCH($H21,'Team Ratings'!$A$2:$A$73,0))-INDEX('Team Ratings'!$P$2:$P$73,MATCH($G21,'Team Ratings'!$A$2:$A$73,0)),3))</f>
        <v>3.3</v>
      </c>
      <c r="AE21" s="16">
        <f t="array" ref="AE21">IF($S21=FALSE(),"",ROUND(INDEX('Team Ratings'!$K$2:$K$73,MATCH($H21,'Team Ratings'!$A$2:$A$73,0))-INDEX('Team Ratings'!$J$2:$J$73,MATCH($G21,'Team Ratings'!$A$2:$A$73,0)),3))</f>
        <v>2.5</v>
      </c>
      <c r="AF21" s="16">
        <f t="array" ref="AF21">IF($S21=FALSE(),"",ROUND(MAX(0,MIN(10,5+((INDEX('Team Ratings'!$L$2:$L$73,MATCH($H21,'Team Ratings'!$A$2:$A$73,0))-INDEX('Team Ratings'!$M$2:$M$73,MATCH($G21,'Team Ratings'!$A$2:$A$73,0)))+(INDEX('Team Ratings'!$M$2:$M$73,MATCH($H21,'Team Ratings'!$A$2:$A$73,0))-INDEX('Team Ratings'!$L$2:$L$73,MATCH($G21,'Team Ratings'!$A$2:$A$73,0))))/2)),3))</f>
        <v>10</v>
      </c>
      <c r="AG21" s="16">
        <f t="array" ref="AG21">IF($S21=FALSE(),"",ROUND((1/J21)*4 + (INDEX('Team Ratings'!$T$2:$T$73,MATCH($H21,'Team Ratings'!$A$2:$A$73,0))/MAX('Team Ratings'!$T$2:$T$73))*4 + (1-(INDEX('Team Ratings'!$J$2:$J$73,MATCH($H21,'Team Ratings'!$A$2:$A$73,0))/MAX('Team Ratings'!$J$2:$J$73)))*2 + (INDEX('Team Ratings'!$N$2:$N$73,MATCH($H21,'Team Ratings'!$A$2:$A$73,0))/MAX('Team Ratings'!$N$2:$N$73)) + (INDEX('Team Ratings'!$M$2:$M$73,MATCH($H21,'Team Ratings'!$A$2:$A$73,0))/MAX('Team Ratings'!$M$2:$M$73)),2))</f>
        <v>3.78</v>
      </c>
      <c r="AH21" s="16">
        <f t="array" ref="AH21">IF($S21=FALSE(),"",IFERROR(INDEX('Team Ratings'!$Q$2:$Q$73,MATCH($H21,'Team Ratings'!$A$2:$A$73,0)),0))</f>
        <v>0</v>
      </c>
      <c r="AI21" s="10" t="b">
        <f t="shared" si="6"/>
        <v>1</v>
      </c>
      <c r="AJ21" s="10"/>
      <c r="AK21" s="10" t="str">
        <f t="shared" si="7"/>
        <v>Troy</v>
      </c>
      <c r="AL21" s="10">
        <v>9</v>
      </c>
    </row>
    <row r="22" spans="1:38" ht="20" customHeight="1" x14ac:dyDescent="0.2">
      <c r="A22" s="14" t="s">
        <v>161</v>
      </c>
      <c r="B22" s="14" t="s">
        <v>201</v>
      </c>
      <c r="C22" s="5">
        <f>_xlfn.SWITCH(B22,
 "Round 1",1,
 "Round 2",2,
 "Sweet 16",3,
 "Elite 8",4,
 "Final Four",5,
 "Championship",6
)*100
+
COUNTIF($B$2:B22,B22)</f>
        <v>121</v>
      </c>
      <c r="D22" s="5" t="s">
        <v>60</v>
      </c>
      <c r="E22" s="5"/>
      <c r="F22" s="5"/>
      <c r="G22" s="5" t="s">
        <v>70</v>
      </c>
      <c r="H22" s="5" t="s">
        <v>65</v>
      </c>
      <c r="I22" s="15">
        <f t="array" ref="I22">IFERROR(INDEX('Team Ratings'!$B$2:$B$73,MATCH($G22,'Team Ratings'!$A$2:$A$73,0)),"")</f>
        <v>11</v>
      </c>
      <c r="J22" s="15">
        <f t="array" ref="J22">IFERROR(INDEX('Team Ratings'!$B$2:$B$73,MATCH($H22,'Team Ratings'!$A$2:$A$73,0)),"")</f>
        <v>6</v>
      </c>
      <c r="K22" s="12">
        <f>IF($S22=FALSE(),"",ROUND((0.35*IFERROR((U22-AVERAGE('Team Metrics'!$X$2:$X$65))/_xlfn.STDEV.P('Team Metrics'!$X$2:$X$65),0)) + (0.2*IFERROR((V22-AVERAGE('Team Metrics'!$W$2:$W$65))/_xlfn.STDEV.P('Team Metrics'!$W$2:$W$65),0)) + (0.15*IFERROR((W22-AVERAGE('Team Metrics'!$Y$2:$Y$65))/_xlfn.STDEV.P('Team Metrics'!$Y$2:$Y$65),0)) + (0.1*IFERROR((X22-AVERAGE('Team Metrics'!$Z$2:$Z$65))/_xlfn.STDEV.P('Team Metrics'!$Z$2:$Z$65),0)) + (0.1*IFERROR((Y22-AVERAGE('Team Metrics'!$AA$2:$AA$65))/_xlfn.STDEV.P('Team Metrics'!$AA$2:$AA$65),0)) + (0.05*IFERROR((Z22-AVERAGE('Team Metrics'!$AB$2:$AB$65))/_xlfn.STDEV.P('Team Metrics'!$AB$2:$AB$65),0)) + (0.05*IFERROR((AA22-AVERAGE('Team Metrics'!$S$2:$S$65))/IF(_xlfn.STDEV.P('Team Metrics'!$S$2:$S$65)=0,1,_xlfn.STDEV.P('Team Metrics'!$S$2:$S$65)),0)),4))</f>
        <v>0.18229999999999999</v>
      </c>
      <c r="L22" s="12">
        <f>IF($S22=FALSE(),"",ROUND((0.35*IFERROR((AB22-AVERAGE('Team Metrics'!$X$2:$X$65))/_xlfn.STDEV.P('Team Metrics'!$X$2:$X$65),0)) + (0.2*IFERROR((AC22-AVERAGE('Team Metrics'!$W$2:$W$65))/_xlfn.STDEV.P('Team Metrics'!$W$2:$W$65),0)) + (0.15*IFERROR((AD22-AVERAGE('Team Metrics'!$Y$2:$Y$65))/_xlfn.STDEV.P('Team Metrics'!$Y$2:$Y$65),0)) + (0.1*IFERROR((AE22-AVERAGE('Team Metrics'!$Z$2:$Z$65))/_xlfn.STDEV.P('Team Metrics'!$Z$2:$Z$65),0)) + (0.1*IFERROR((AF22-AVERAGE('Team Metrics'!$AA$2:$AA$65))/_xlfn.STDEV.P('Team Metrics'!$AA$2:$AA$65),0)) + (0.05*IFERROR((AG22-AVERAGE('Team Metrics'!$AB$2:$AB$65))/_xlfn.STDEV.P('Team Metrics'!$AB$2:$AB$65),0)) + (0.05*IFERROR((AH22-AVERAGE('Team Metrics'!$S$2:$S$65))/IF(_xlfn.STDEV.P('Team Metrics'!$S$2:$S$65)=0,1,_xlfn.STDEV.P('Team Metrics'!$S$2:$S$65)),0)),4))</f>
        <v>-0.51280000000000003</v>
      </c>
      <c r="M22" s="12">
        <f t="shared" si="0"/>
        <v>0.69510000000000005</v>
      </c>
      <c r="N22" s="10" t="str">
        <f t="shared" si="1"/>
        <v>VCU</v>
      </c>
      <c r="O22" s="7">
        <f t="shared" si="2"/>
        <v>58.3</v>
      </c>
      <c r="P22" s="5" t="str">
        <f t="shared" si="3"/>
        <v>UPSET</v>
      </c>
      <c r="Q22" s="5" t="s">
        <v>144</v>
      </c>
      <c r="R22" s="5" t="s">
        <v>123</v>
      </c>
      <c r="S22" s="10" t="b">
        <f t="shared" si="4"/>
        <v>1</v>
      </c>
      <c r="T22" s="5" t="str">
        <f t="shared" si="5"/>
        <v>ΔComposite=0.7; AdjNET Δ=-2.7; 3PT Δ=0.8; TO Δ=4.8; REB Δ=2.7</v>
      </c>
      <c r="U22" s="16">
        <f t="array" ref="U22">IF($S22=FALSE(),"",ROUND((0.75*INDEX('Team Ratings'!$G$2:$G$73,MATCH($G22,'Team Ratings'!$A$2:$A$73,0)))+(0.25*INDEX('Team Ratings'!$T$2:$T$73,MATCH($G22,'Team Ratings'!$A$2:$A$73,0))),3))</f>
        <v>17.600000000000001</v>
      </c>
      <c r="V22" s="16">
        <f t="array" ref="V22">IF($S22=FALSE(),"",ROUND(INDEX('Team Ratings'!$T$2:$T$73,MATCH($G22,'Team Ratings'!$A$2:$A$73,0))-INDEX('Team Ratings'!$G$2:$G$73,MATCH($G22,'Team Ratings'!$A$2:$A$73,0)),3))</f>
        <v>5.2</v>
      </c>
      <c r="W22" s="16">
        <f t="array" ref="W22">IF($S22=FALSE(),"",ROUND(INDEX('Team Ratings'!$O$2:$O$73,MATCH($G22,'Team Ratings'!$A$2:$A$73,0))-INDEX('Team Ratings'!$P$2:$P$73,MATCH($H22,'Team Ratings'!$A$2:$A$73,0)),3))</f>
        <v>2.2000000000000002</v>
      </c>
      <c r="X22" s="16">
        <f t="array" ref="X22">IF($S22=FALSE(),"",ROUND(INDEX('Team Ratings'!$K$2:$K$73,MATCH($G22,'Team Ratings'!$A$2:$A$73,0))-INDEX('Team Ratings'!$J$2:$J$73,MATCH($H22,'Team Ratings'!$A$2:$A$73,0)),3))</f>
        <v>3.2</v>
      </c>
      <c r="Y22" s="16">
        <f t="array" ref="Y22">IF($S22=FALSE(),"",ROUND(MAX(0,MIN(10,5+((INDEX('Team Ratings'!$L$2:$L$73,MATCH($G22,'Team Ratings'!$A$2:$A$73,0))-INDEX('Team Ratings'!$M$2:$M$73,MATCH($H22,'Team Ratings'!$A$2:$A$73,0)))+(INDEX('Team Ratings'!$M$2:$M$73,MATCH($G22,'Team Ratings'!$A$2:$A$73,0))-INDEX('Team Ratings'!$L$2:$L$73,MATCH($H22,'Team Ratings'!$A$2:$A$73,0))))/2)),3))</f>
        <v>6.35</v>
      </c>
      <c r="Z22" s="16">
        <f t="array" ref="Z22">IF($S22=FALSE(),"",ROUND((1/I22)*4 + (INDEX('Team Ratings'!$T$2:$T$73,MATCH($G22,'Team Ratings'!$A$2:$A$73,0))/MAX('Team Ratings'!$T$2:$T$73))*4 + (1-(INDEX('Team Ratings'!$J$2:$J$73,MATCH($G22,'Team Ratings'!$A$2:$A$73,0))/MAX('Team Ratings'!$J$2:$J$73)))*2 + (INDEX('Team Ratings'!$N$2:$N$73,MATCH($G22,'Team Ratings'!$A$2:$A$73,0))/MAX('Team Ratings'!$N$2:$N$73)) + (INDEX('Team Ratings'!$M$2:$M$73,MATCH($G22,'Team Ratings'!$A$2:$A$73,0))/MAX('Team Ratings'!$M$2:$M$73)),2))</f>
        <v>4.8</v>
      </c>
      <c r="AA22" s="16">
        <f t="array" ref="AA22">IF($S22=FALSE(),"",IFERROR(INDEX('Team Ratings'!$Q$2:$Q$73,MATCH($G22,'Team Ratings'!$A$2:$A$73,0)),0))</f>
        <v>0</v>
      </c>
      <c r="AB22" s="16">
        <f t="array" ref="AB22">IF($S22=FALSE(),"",ROUND((0.75*INDEX('Team Ratings'!$G$2:$G$73,MATCH($H22,'Team Ratings'!$A$2:$A$73,0)))+(0.25*INDEX('Team Ratings'!$T$2:$T$73,MATCH($H22,'Team Ratings'!$A$2:$A$73,0))),3))</f>
        <v>20.25</v>
      </c>
      <c r="AC22" s="16">
        <f t="array" ref="AC22">IF($S22=FALSE(),"",ROUND(INDEX('Team Ratings'!$T$2:$T$73,MATCH($H22,'Team Ratings'!$A$2:$A$73,0))-INDEX('Team Ratings'!$G$2:$G$73,MATCH($H22,'Team Ratings'!$A$2:$A$73,0)),3))</f>
        <v>-4.5999999999999996</v>
      </c>
      <c r="AD22" s="16">
        <f t="array" ref="AD22">IF($S22=FALSE(),"",ROUND(INDEX('Team Ratings'!$O$2:$O$73,MATCH($H22,'Team Ratings'!$A$2:$A$73,0))-INDEX('Team Ratings'!$P$2:$P$73,MATCH($G22,'Team Ratings'!$A$2:$A$73,0)),3))</f>
        <v>1.4</v>
      </c>
      <c r="AE22" s="16">
        <f t="array" ref="AE22">IF($S22=FALSE(),"",ROUND(INDEX('Team Ratings'!$K$2:$K$73,MATCH($H22,'Team Ratings'!$A$2:$A$73,0))-INDEX('Team Ratings'!$J$2:$J$73,MATCH($G22,'Team Ratings'!$A$2:$A$73,0)),3))</f>
        <v>-1.6</v>
      </c>
      <c r="AF22" s="16">
        <f t="array" ref="AF22">IF($S22=FALSE(),"",ROUND(MAX(0,MIN(10,5+((INDEX('Team Ratings'!$L$2:$L$73,MATCH($H22,'Team Ratings'!$A$2:$A$73,0))-INDEX('Team Ratings'!$M$2:$M$73,MATCH($G22,'Team Ratings'!$A$2:$A$73,0)))+(INDEX('Team Ratings'!$M$2:$M$73,MATCH($H22,'Team Ratings'!$A$2:$A$73,0))-INDEX('Team Ratings'!$L$2:$L$73,MATCH($G22,'Team Ratings'!$A$2:$A$73,0))))/2)),3))</f>
        <v>3.65</v>
      </c>
      <c r="AG22" s="16">
        <f t="array" ref="AG22">IF($S22=FALSE(),"",ROUND((1/J22)*4 + (INDEX('Team Ratings'!$T$2:$T$73,MATCH($H22,'Team Ratings'!$A$2:$A$73,0))/MAX('Team Ratings'!$T$2:$T$73))*4 + (1-(INDEX('Team Ratings'!$J$2:$J$73,MATCH($H22,'Team Ratings'!$A$2:$A$73,0))/MAX('Team Ratings'!$J$2:$J$73)))*2 + (INDEX('Team Ratings'!$N$2:$N$73,MATCH($H22,'Team Ratings'!$A$2:$A$73,0))/MAX('Team Ratings'!$N$2:$N$73)) + (INDEX('Team Ratings'!$M$2:$M$73,MATCH($H22,'Team Ratings'!$A$2:$A$73,0))/MAX('Team Ratings'!$M$2:$M$73)),2))</f>
        <v>4.5599999999999996</v>
      </c>
      <c r="AH22" s="16">
        <f t="array" ref="AH22">IF($S22=FALSE(),"",IFERROR(INDEX('Team Ratings'!$Q$2:$Q$73,MATCH($H22,'Team Ratings'!$A$2:$A$73,0)),0))</f>
        <v>-3</v>
      </c>
      <c r="AI22" s="10" t="b">
        <f t="shared" si="6"/>
        <v>1</v>
      </c>
      <c r="AJ22" s="10"/>
      <c r="AK22" s="10" t="str">
        <f t="shared" si="7"/>
        <v>VCU</v>
      </c>
      <c r="AL22" s="10">
        <v>9</v>
      </c>
    </row>
    <row r="23" spans="1:38" ht="20" customHeight="1" x14ac:dyDescent="0.2">
      <c r="A23" s="14" t="s">
        <v>143</v>
      </c>
      <c r="B23" s="14" t="s">
        <v>201</v>
      </c>
      <c r="C23" s="5">
        <f>_xlfn.SWITCH(B23,
 "Round 1",1,
 "Round 2",2,
 "Sweet 16",3,
 "Elite 8",4,
 "Final Four",5,
 "Championship",6
)*100
+
COUNTIF($B$2:B23,B23)</f>
        <v>122</v>
      </c>
      <c r="D23" s="5" t="s">
        <v>60</v>
      </c>
      <c r="E23" s="5"/>
      <c r="F23" s="5"/>
      <c r="G23" s="5" t="s">
        <v>62</v>
      </c>
      <c r="H23" s="5" t="s">
        <v>73</v>
      </c>
      <c r="I23" s="15">
        <f t="array" ref="I23">IFERROR(INDEX('Team Ratings'!$B$2:$B$73,MATCH($G23,'Team Ratings'!$A$2:$A$73,0)),"")</f>
        <v>3</v>
      </c>
      <c r="J23" s="15">
        <f t="array" ref="J23">IFERROR(INDEX('Team Ratings'!$B$2:$B$73,MATCH($H23,'Team Ratings'!$A$2:$A$73,0)),"")</f>
        <v>14</v>
      </c>
      <c r="K23" s="12">
        <f>IF($S23=FALSE(),"",ROUND((0.35*IFERROR((U23-AVERAGE('Team Metrics'!$X$2:$X$65))/_xlfn.STDEV.P('Team Metrics'!$X$2:$X$65),0)) + (0.2*IFERROR((V23-AVERAGE('Team Metrics'!$W$2:$W$65))/_xlfn.STDEV.P('Team Metrics'!$W$2:$W$65),0)) + (0.15*IFERROR((W23-AVERAGE('Team Metrics'!$Y$2:$Y$65))/_xlfn.STDEV.P('Team Metrics'!$Y$2:$Y$65),0)) + (0.1*IFERROR((X23-AVERAGE('Team Metrics'!$Z$2:$Z$65))/_xlfn.STDEV.P('Team Metrics'!$Z$2:$Z$65),0)) + (0.1*IFERROR((Y23-AVERAGE('Team Metrics'!$AA$2:$AA$65))/_xlfn.STDEV.P('Team Metrics'!$AA$2:$AA$65),0)) + (0.05*IFERROR((Z23-AVERAGE('Team Metrics'!$AB$2:$AB$65))/_xlfn.STDEV.P('Team Metrics'!$AB$2:$AB$65),0)) + (0.05*IFERROR((AA23-AVERAGE('Team Metrics'!$S$2:$S$65))/IF(_xlfn.STDEV.P('Team Metrics'!$S$2:$S$65)=0,1,_xlfn.STDEV.P('Team Metrics'!$S$2:$S$65)),0)),4))</f>
        <v>0.255</v>
      </c>
      <c r="L23" s="12">
        <f>IF($S23=FALSE(),"",ROUND((0.35*IFERROR((AB23-AVERAGE('Team Metrics'!$X$2:$X$65))/_xlfn.STDEV.P('Team Metrics'!$X$2:$X$65),0)) + (0.2*IFERROR((AC23-AVERAGE('Team Metrics'!$W$2:$W$65))/_xlfn.STDEV.P('Team Metrics'!$W$2:$W$65),0)) + (0.15*IFERROR((AD23-AVERAGE('Team Metrics'!$Y$2:$Y$65))/_xlfn.STDEV.P('Team Metrics'!$Y$2:$Y$65),0)) + (0.1*IFERROR((AE23-AVERAGE('Team Metrics'!$Z$2:$Z$65))/_xlfn.STDEV.P('Team Metrics'!$Z$2:$Z$65),0)) + (0.1*IFERROR((AF23-AVERAGE('Team Metrics'!$AA$2:$AA$65))/_xlfn.STDEV.P('Team Metrics'!$AA$2:$AA$65),0)) + (0.05*IFERROR((AG23-AVERAGE('Team Metrics'!$AB$2:$AB$65))/_xlfn.STDEV.P('Team Metrics'!$AB$2:$AB$65),0)) + (0.05*IFERROR((AH23-AVERAGE('Team Metrics'!$S$2:$S$65))/IF(_xlfn.STDEV.P('Team Metrics'!$S$2:$S$65)=0,1,_xlfn.STDEV.P('Team Metrics'!$S$2:$S$65)),0)),4))</f>
        <v>6.9800000000000001E-2</v>
      </c>
      <c r="M23" s="12">
        <f t="shared" si="0"/>
        <v>0.1852</v>
      </c>
      <c r="N23" s="10" t="str">
        <f t="shared" si="1"/>
        <v>Illinois</v>
      </c>
      <c r="O23" s="7">
        <f t="shared" si="2"/>
        <v>52.2</v>
      </c>
      <c r="P23" s="5" t="str">
        <f t="shared" si="3"/>
        <v/>
      </c>
      <c r="Q23" s="5" t="s">
        <v>144</v>
      </c>
      <c r="R23" s="5" t="s">
        <v>132</v>
      </c>
      <c r="S23" s="10" t="b">
        <f t="shared" si="4"/>
        <v>1</v>
      </c>
      <c r="T23" s="5" t="str">
        <f t="shared" si="5"/>
        <v>ΔComposite=0.19; AdjNET Δ=28.3; 3PT Δ=-4.3; TO Δ=-8.4; REB Δ=4.9</v>
      </c>
      <c r="U23" s="16">
        <f t="array" ref="U23">IF($S23=FALSE(),"",ROUND((0.75*INDEX('Team Ratings'!$G$2:$G$73,MATCH($G23,'Team Ratings'!$A$2:$A$73,0)))+(0.25*INDEX('Team Ratings'!$T$2:$T$73,MATCH($G23,'Team Ratings'!$A$2:$A$73,0))),3))</f>
        <v>32.075000000000003</v>
      </c>
      <c r="V23" s="16">
        <f t="array" ref="V23">IF($S23=FALSE(),"",ROUND(INDEX('Team Ratings'!$T$2:$T$73,MATCH($G23,'Team Ratings'!$A$2:$A$73,0))-INDEX('Team Ratings'!$G$2:$G$73,MATCH($G23,'Team Ratings'!$A$2:$A$73,0)),3))</f>
        <v>-6.5</v>
      </c>
      <c r="W23" s="16">
        <f t="array" ref="W23">IF($S23=FALSE(),"",ROUND(INDEX('Team Ratings'!$O$2:$O$73,MATCH($G23,'Team Ratings'!$A$2:$A$73,0))-INDEX('Team Ratings'!$P$2:$P$73,MATCH($H23,'Team Ratings'!$A$2:$A$73,0)),3))</f>
        <v>3</v>
      </c>
      <c r="X23" s="16">
        <f t="array" ref="X23">IF($S23=FALSE(),"",ROUND(INDEX('Team Ratings'!$K$2:$K$73,MATCH($G23,'Team Ratings'!$A$2:$A$73,0))-INDEX('Team Ratings'!$J$2:$J$73,MATCH($H23,'Team Ratings'!$A$2:$A$73,0)),3))</f>
        <v>-3.8</v>
      </c>
      <c r="Y23" s="16">
        <f t="array" ref="Y23">IF($S23=FALSE(),"",ROUND(MAX(0,MIN(10,5+((INDEX('Team Ratings'!$L$2:$L$73,MATCH($G23,'Team Ratings'!$A$2:$A$73,0))-INDEX('Team Ratings'!$M$2:$M$73,MATCH($H23,'Team Ratings'!$A$2:$A$73,0)))+(INDEX('Team Ratings'!$M$2:$M$73,MATCH($G23,'Team Ratings'!$A$2:$A$73,0))-INDEX('Team Ratings'!$L$2:$L$73,MATCH($H23,'Team Ratings'!$A$2:$A$73,0))))/2)),3))</f>
        <v>7.45</v>
      </c>
      <c r="Z23" s="16">
        <f t="array" ref="Z23">IF($S23=FALSE(),"",ROUND((1/I23)*4 + (INDEX('Team Ratings'!$T$2:$T$73,MATCH($G23,'Team Ratings'!$A$2:$A$73,0))/MAX('Team Ratings'!$T$2:$T$73))*4 + (1-(INDEX('Team Ratings'!$J$2:$J$73,MATCH($G23,'Team Ratings'!$A$2:$A$73,0))/MAX('Team Ratings'!$J$2:$J$73)))*2 + (INDEX('Team Ratings'!$N$2:$N$73,MATCH($G23,'Team Ratings'!$A$2:$A$73,0))/MAX('Team Ratings'!$N$2:$N$73)) + (INDEX('Team Ratings'!$M$2:$M$73,MATCH($G23,'Team Ratings'!$A$2:$A$73,0))/MAX('Team Ratings'!$M$2:$M$73)),2))</f>
        <v>6.23</v>
      </c>
      <c r="AA23" s="16">
        <f t="array" ref="AA23">IF($S23=FALSE(),"",IFERROR(INDEX('Team Ratings'!$Q$2:$Q$73,MATCH($G23,'Team Ratings'!$A$2:$A$73,0)),0))</f>
        <v>0</v>
      </c>
      <c r="AB23" s="16">
        <f t="array" ref="AB23">IF($S23=FALSE(),"",ROUND((0.75*INDEX('Team Ratings'!$G$2:$G$73,MATCH($H23,'Team Ratings'!$A$2:$A$73,0)))+(0.25*INDEX('Team Ratings'!$T$2:$T$73,MATCH($H23,'Team Ratings'!$A$2:$A$73,0))),3))</f>
        <v>3.7749999999999999</v>
      </c>
      <c r="AC23" s="16">
        <f t="array" ref="AC23">IF($S23=FALSE(),"",ROUND(INDEX('Team Ratings'!$T$2:$T$73,MATCH($H23,'Team Ratings'!$A$2:$A$73,0))-INDEX('Team Ratings'!$G$2:$G$73,MATCH($H23,'Team Ratings'!$A$2:$A$73,0)),3))</f>
        <v>10.3</v>
      </c>
      <c r="AD23" s="16">
        <f t="array" ref="AD23">IF($S23=FALSE(),"",ROUND(INDEX('Team Ratings'!$O$2:$O$73,MATCH($H23,'Team Ratings'!$A$2:$A$73,0))-INDEX('Team Ratings'!$P$2:$P$73,MATCH($G23,'Team Ratings'!$A$2:$A$73,0)),3))</f>
        <v>7.3</v>
      </c>
      <c r="AE23" s="16">
        <f t="array" ref="AE23">IF($S23=FALSE(),"",ROUND(INDEX('Team Ratings'!$K$2:$K$73,MATCH($H23,'Team Ratings'!$A$2:$A$73,0))-INDEX('Team Ratings'!$J$2:$J$73,MATCH($G23,'Team Ratings'!$A$2:$A$73,0)),3))</f>
        <v>4.5999999999999996</v>
      </c>
      <c r="AF23" s="16">
        <f t="array" ref="AF23">IF($S23=FALSE(),"",ROUND(MAX(0,MIN(10,5+((INDEX('Team Ratings'!$L$2:$L$73,MATCH($H23,'Team Ratings'!$A$2:$A$73,0))-INDEX('Team Ratings'!$M$2:$M$73,MATCH($G23,'Team Ratings'!$A$2:$A$73,0)))+(INDEX('Team Ratings'!$M$2:$M$73,MATCH($H23,'Team Ratings'!$A$2:$A$73,0))-INDEX('Team Ratings'!$L$2:$L$73,MATCH($G23,'Team Ratings'!$A$2:$A$73,0))))/2)),3))</f>
        <v>2.5499999999999998</v>
      </c>
      <c r="AG23" s="16">
        <f t="array" ref="AG23">IF($S23=FALSE(),"",ROUND((1/J23)*4 + (INDEX('Team Ratings'!$T$2:$T$73,MATCH($H23,'Team Ratings'!$A$2:$A$73,0))/MAX('Team Ratings'!$T$2:$T$73))*4 + (1-(INDEX('Team Ratings'!$J$2:$J$73,MATCH($H23,'Team Ratings'!$A$2:$A$73,0))/MAX('Team Ratings'!$J$2:$J$73)))*2 + (INDEX('Team Ratings'!$N$2:$N$73,MATCH($H23,'Team Ratings'!$A$2:$A$73,0))/MAX('Team Ratings'!$N$2:$N$73)) + (INDEX('Team Ratings'!$M$2:$M$73,MATCH($H23,'Team Ratings'!$A$2:$A$73,0))/MAX('Team Ratings'!$M$2:$M$73)),2))</f>
        <v>3.53</v>
      </c>
      <c r="AH23" s="16">
        <f t="array" ref="AH23">IF($S23=FALSE(),"",IFERROR(INDEX('Team Ratings'!$Q$2:$Q$73,MATCH($H23,'Team Ratings'!$A$2:$A$73,0)),0))</f>
        <v>0</v>
      </c>
      <c r="AI23" s="10" t="b">
        <f t="shared" si="6"/>
        <v>1</v>
      </c>
      <c r="AJ23" s="10"/>
      <c r="AK23" s="10" t="str">
        <f t="shared" si="7"/>
        <v>Illinois</v>
      </c>
      <c r="AL23" s="10">
        <v>9</v>
      </c>
    </row>
    <row r="24" spans="1:38" ht="20" customHeight="1" x14ac:dyDescent="0.2">
      <c r="A24" s="14" t="s">
        <v>165</v>
      </c>
      <c r="B24" s="14" t="s">
        <v>201</v>
      </c>
      <c r="C24" s="5">
        <f>_xlfn.SWITCH(B24,
 "Round 1",1,
 "Round 2",2,
 "Sweet 16",3,
 "Elite 8",4,
 "Final Four",5,
 "Championship",6
)*100
+
COUNTIF($B$2:B24,B24)</f>
        <v>123</v>
      </c>
      <c r="D24" s="5" t="s">
        <v>60</v>
      </c>
      <c r="E24" s="5"/>
      <c r="F24" s="5"/>
      <c r="G24" s="5" t="s">
        <v>69</v>
      </c>
      <c r="H24" s="5" t="s">
        <v>66</v>
      </c>
      <c r="I24" s="15">
        <f t="array" ref="I24">IFERROR(INDEX('Team Ratings'!$B$2:$B$73,MATCH($G24,'Team Ratings'!$A$2:$A$73,0)),"")</f>
        <v>10</v>
      </c>
      <c r="J24" s="15">
        <f t="array" ref="J24">IFERROR(INDEX('Team Ratings'!$B$2:$B$73,MATCH($H24,'Team Ratings'!$A$2:$A$73,0)),"")</f>
        <v>7</v>
      </c>
      <c r="K24" s="12">
        <f>IF($S24=FALSE(),"",ROUND((0.35*IFERROR((U24-AVERAGE('Team Metrics'!$X$2:$X$65))/_xlfn.STDEV.P('Team Metrics'!$X$2:$X$65),0)) + (0.2*IFERROR((V24-AVERAGE('Team Metrics'!$W$2:$W$65))/_xlfn.STDEV.P('Team Metrics'!$W$2:$W$65),0)) + (0.15*IFERROR((W24-AVERAGE('Team Metrics'!$Y$2:$Y$65))/_xlfn.STDEV.P('Team Metrics'!$Y$2:$Y$65),0)) + (0.1*IFERROR((X24-AVERAGE('Team Metrics'!$Z$2:$Z$65))/_xlfn.STDEV.P('Team Metrics'!$Z$2:$Z$65),0)) + (0.1*IFERROR((Y24-AVERAGE('Team Metrics'!$AA$2:$AA$65))/_xlfn.STDEV.P('Team Metrics'!$AA$2:$AA$65),0)) + (0.05*IFERROR((Z24-AVERAGE('Team Metrics'!$AB$2:$AB$65))/_xlfn.STDEV.P('Team Metrics'!$AB$2:$AB$65),0)) + (0.05*IFERROR((AA24-AVERAGE('Team Metrics'!$S$2:$S$65))/IF(_xlfn.STDEV.P('Team Metrics'!$S$2:$S$65)=0,1,_xlfn.STDEV.P('Team Metrics'!$S$2:$S$65)),0)),4))</f>
        <v>-5.9400000000000001E-2</v>
      </c>
      <c r="L24" s="12">
        <f>IF($S24=FALSE(),"",ROUND((0.35*IFERROR((AB24-AVERAGE('Team Metrics'!$X$2:$X$65))/_xlfn.STDEV.P('Team Metrics'!$X$2:$X$65),0)) + (0.2*IFERROR((AC24-AVERAGE('Team Metrics'!$W$2:$W$65))/_xlfn.STDEV.P('Team Metrics'!$W$2:$W$65),0)) + (0.15*IFERROR((AD24-AVERAGE('Team Metrics'!$Y$2:$Y$65))/_xlfn.STDEV.P('Team Metrics'!$Y$2:$Y$65),0)) + (0.1*IFERROR((AE24-AVERAGE('Team Metrics'!$Z$2:$Z$65))/_xlfn.STDEV.P('Team Metrics'!$Z$2:$Z$65),0)) + (0.1*IFERROR((AF24-AVERAGE('Team Metrics'!$AA$2:$AA$65))/_xlfn.STDEV.P('Team Metrics'!$AA$2:$AA$65),0)) + (0.05*IFERROR((AG24-AVERAGE('Team Metrics'!$AB$2:$AB$65))/_xlfn.STDEV.P('Team Metrics'!$AB$2:$AB$65),0)) + (0.05*IFERROR((AH24-AVERAGE('Team Metrics'!$S$2:$S$65))/IF(_xlfn.STDEV.P('Team Metrics'!$S$2:$S$65)=0,1,_xlfn.STDEV.P('Team Metrics'!$S$2:$S$65)),0)),4))</f>
        <v>0.1129</v>
      </c>
      <c r="M24" s="12">
        <f t="shared" si="0"/>
        <v>-0.17230000000000001</v>
      </c>
      <c r="N24" s="10" t="str">
        <f t="shared" si="1"/>
        <v>Saint Mary's</v>
      </c>
      <c r="O24" s="7">
        <f t="shared" si="2"/>
        <v>52.1</v>
      </c>
      <c r="P24" s="5" t="str">
        <f t="shared" si="3"/>
        <v/>
      </c>
      <c r="Q24" s="5" t="s">
        <v>136</v>
      </c>
      <c r="R24" s="5" t="s">
        <v>123</v>
      </c>
      <c r="S24" s="10" t="b">
        <f t="shared" si="4"/>
        <v>1</v>
      </c>
      <c r="T24" s="5" t="str">
        <f t="shared" si="5"/>
        <v>ΔComposite=0.17; AdjNET Δ=-4.2; 3PT Δ=-1.9; TO Δ=1.3; REB Δ=3.4</v>
      </c>
      <c r="U24" s="16">
        <f t="array" ref="U24">IF($S24=FALSE(),"",ROUND((0.75*INDEX('Team Ratings'!$G$2:$G$73,MATCH($G24,'Team Ratings'!$A$2:$A$73,0)))+(0.25*INDEX('Team Ratings'!$T$2:$T$73,MATCH($G24,'Team Ratings'!$A$2:$A$73,0))),3))</f>
        <v>16.399999999999999</v>
      </c>
      <c r="V24" s="16">
        <f t="array" ref="V24">IF($S24=FALSE(),"",ROUND(INDEX('Team Ratings'!$T$2:$T$73,MATCH($G24,'Team Ratings'!$A$2:$A$73,0))-INDEX('Team Ratings'!$G$2:$G$73,MATCH($G24,'Team Ratings'!$A$2:$A$73,0)),3))</f>
        <v>-8.4</v>
      </c>
      <c r="W24" s="16">
        <f t="array" ref="W24">IF($S24=FALSE(),"",ROUND(INDEX('Team Ratings'!$O$2:$O$73,MATCH($G24,'Team Ratings'!$A$2:$A$73,0))-INDEX('Team Ratings'!$P$2:$P$73,MATCH($H24,'Team Ratings'!$A$2:$A$73,0)),3))</f>
        <v>5</v>
      </c>
      <c r="X24" s="16">
        <f t="array" ref="X24">IF($S24=FALSE(),"",ROUND(INDEX('Team Ratings'!$K$2:$K$73,MATCH($G24,'Team Ratings'!$A$2:$A$73,0))-INDEX('Team Ratings'!$J$2:$J$73,MATCH($H24,'Team Ratings'!$A$2:$A$73,0)),3))</f>
        <v>1.9</v>
      </c>
      <c r="Y24" s="16">
        <f t="array" ref="Y24">IF($S24=FALSE(),"",ROUND(MAX(0,MIN(10,5+((INDEX('Team Ratings'!$L$2:$L$73,MATCH($G24,'Team Ratings'!$A$2:$A$73,0))-INDEX('Team Ratings'!$M$2:$M$73,MATCH($H24,'Team Ratings'!$A$2:$A$73,0)))+(INDEX('Team Ratings'!$M$2:$M$73,MATCH($G24,'Team Ratings'!$A$2:$A$73,0))-INDEX('Team Ratings'!$L$2:$L$73,MATCH($H24,'Team Ratings'!$A$2:$A$73,0))))/2)),3))</f>
        <v>6.7</v>
      </c>
      <c r="Z24" s="16">
        <f t="array" ref="Z24">IF($S24=FALSE(),"",ROUND((1/I24)*4 + (INDEX('Team Ratings'!$T$2:$T$73,MATCH($G24,'Team Ratings'!$A$2:$A$73,0))/MAX('Team Ratings'!$T$2:$T$73))*4 + (1-(INDEX('Team Ratings'!$J$2:$J$73,MATCH($G24,'Team Ratings'!$A$2:$A$73,0))/MAX('Team Ratings'!$J$2:$J$73)))*2 + (INDEX('Team Ratings'!$N$2:$N$73,MATCH($G24,'Team Ratings'!$A$2:$A$73,0))/MAX('Team Ratings'!$N$2:$N$73)) + (INDEX('Team Ratings'!$M$2:$M$73,MATCH($G24,'Team Ratings'!$A$2:$A$73,0))/MAX('Team Ratings'!$M$2:$M$73)),2))</f>
        <v>3.68</v>
      </c>
      <c r="AA24" s="16">
        <f t="array" ref="AA24">IF($S24=FALSE(),"",IFERROR(INDEX('Team Ratings'!$Q$2:$Q$73,MATCH($G24,'Team Ratings'!$A$2:$A$73,0)),0))</f>
        <v>0</v>
      </c>
      <c r="AB24" s="16">
        <f t="array" ref="AB24">IF($S24=FALSE(),"",ROUND((0.75*INDEX('Team Ratings'!$G$2:$G$73,MATCH($H24,'Team Ratings'!$A$2:$A$73,0)))+(0.25*INDEX('Team Ratings'!$T$2:$T$73,MATCH($H24,'Team Ratings'!$A$2:$A$73,0))),3))</f>
        <v>20.574999999999999</v>
      </c>
      <c r="AC24" s="16">
        <f t="array" ref="AC24">IF($S24=FALSE(),"",ROUND(INDEX('Team Ratings'!$T$2:$T$73,MATCH($H24,'Team Ratings'!$A$2:$A$73,0))-INDEX('Team Ratings'!$G$2:$G$73,MATCH($H24,'Team Ratings'!$A$2:$A$73,0)),3))</f>
        <v>-5.3</v>
      </c>
      <c r="AD24" s="16">
        <f t="array" ref="AD24">IF($S24=FALSE(),"",ROUND(INDEX('Team Ratings'!$O$2:$O$73,MATCH($H24,'Team Ratings'!$A$2:$A$73,0))-INDEX('Team Ratings'!$P$2:$P$73,MATCH($G24,'Team Ratings'!$A$2:$A$73,0)),3))</f>
        <v>6.9</v>
      </c>
      <c r="AE24" s="16">
        <f t="array" ref="AE24">IF($S24=FALSE(),"",ROUND(INDEX('Team Ratings'!$K$2:$K$73,MATCH($H24,'Team Ratings'!$A$2:$A$73,0))-INDEX('Team Ratings'!$J$2:$J$73,MATCH($G24,'Team Ratings'!$A$2:$A$73,0)),3))</f>
        <v>0.6</v>
      </c>
      <c r="AF24" s="16">
        <f t="array" ref="AF24">IF($S24=FALSE(),"",ROUND(MAX(0,MIN(10,5+((INDEX('Team Ratings'!$L$2:$L$73,MATCH($H24,'Team Ratings'!$A$2:$A$73,0))-INDEX('Team Ratings'!$M$2:$M$73,MATCH($G24,'Team Ratings'!$A$2:$A$73,0)))+(INDEX('Team Ratings'!$M$2:$M$73,MATCH($H24,'Team Ratings'!$A$2:$A$73,0))-INDEX('Team Ratings'!$L$2:$L$73,MATCH($G24,'Team Ratings'!$A$2:$A$73,0))))/2)),3))</f>
        <v>3.3</v>
      </c>
      <c r="AG24" s="16">
        <f t="array" ref="AG24">IF($S24=FALSE(),"",ROUND((1/J24)*4 + (INDEX('Team Ratings'!$T$2:$T$73,MATCH($H24,'Team Ratings'!$A$2:$A$73,0))/MAX('Team Ratings'!$T$2:$T$73))*4 + (1-(INDEX('Team Ratings'!$J$2:$J$73,MATCH($H24,'Team Ratings'!$A$2:$A$73,0))/MAX('Team Ratings'!$J$2:$J$73)))*2 + (INDEX('Team Ratings'!$N$2:$N$73,MATCH($H24,'Team Ratings'!$A$2:$A$73,0))/MAX('Team Ratings'!$N$2:$N$73)) + (INDEX('Team Ratings'!$M$2:$M$73,MATCH($H24,'Team Ratings'!$A$2:$A$73,0))/MAX('Team Ratings'!$M$2:$M$73)),2))</f>
        <v>4.05</v>
      </c>
      <c r="AH24" s="16">
        <f t="array" ref="AH24">IF($S24=FALSE(),"",IFERROR(INDEX('Team Ratings'!$Q$2:$Q$73,MATCH($H24,'Team Ratings'!$A$2:$A$73,0)),0))</f>
        <v>0</v>
      </c>
      <c r="AI24" s="10" t="b">
        <f t="shared" si="6"/>
        <v>1</v>
      </c>
      <c r="AJ24" s="10"/>
      <c r="AK24" s="10" t="str">
        <f t="shared" si="7"/>
        <v>Saint Mary's</v>
      </c>
      <c r="AL24" s="10">
        <v>9</v>
      </c>
    </row>
    <row r="25" spans="1:38" ht="20" customHeight="1" x14ac:dyDescent="0.2">
      <c r="A25" s="14" t="s">
        <v>135</v>
      </c>
      <c r="B25" s="14" t="s">
        <v>201</v>
      </c>
      <c r="C25" s="5">
        <f>_xlfn.SWITCH(B25,
 "Round 1",1,
 "Round 2",2,
 "Sweet 16",3,
 "Elite 8",4,
 "Final Four",5,
 "Championship",6
)*100
+
COUNTIF($B$2:B25,B25)</f>
        <v>124</v>
      </c>
      <c r="D25" s="5" t="s">
        <v>60</v>
      </c>
      <c r="E25" s="5"/>
      <c r="F25" s="5"/>
      <c r="G25" s="5" t="s">
        <v>61</v>
      </c>
      <c r="H25" s="5" t="s">
        <v>74</v>
      </c>
      <c r="I25" s="15">
        <f t="array" ref="I25">IFERROR(INDEX('Team Ratings'!$B$2:$B$73,MATCH($G25,'Team Ratings'!$A$2:$A$73,0)),"")</f>
        <v>2</v>
      </c>
      <c r="J25" s="15">
        <f t="array" ref="J25">IFERROR(INDEX('Team Ratings'!$B$2:$B$73,MATCH($H25,'Team Ratings'!$A$2:$A$73,0)),"")</f>
        <v>15</v>
      </c>
      <c r="K25" s="12">
        <f>IF($S25=FALSE(),"",ROUND((0.35*IFERROR((U25-AVERAGE('Team Metrics'!$X$2:$X$65))/_xlfn.STDEV.P('Team Metrics'!$X$2:$X$65),0)) + (0.2*IFERROR((V25-AVERAGE('Team Metrics'!$W$2:$W$65))/_xlfn.STDEV.P('Team Metrics'!$W$2:$W$65),0)) + (0.15*IFERROR((W25-AVERAGE('Team Metrics'!$Y$2:$Y$65))/_xlfn.STDEV.P('Team Metrics'!$Y$2:$Y$65),0)) + (0.1*IFERROR((X25-AVERAGE('Team Metrics'!$Z$2:$Z$65))/_xlfn.STDEV.P('Team Metrics'!$Z$2:$Z$65),0)) + (0.1*IFERROR((Y25-AVERAGE('Team Metrics'!$AA$2:$AA$65))/_xlfn.STDEV.P('Team Metrics'!$AA$2:$AA$65),0)) + (0.05*IFERROR((Z25-AVERAGE('Team Metrics'!$AB$2:$AB$65))/_xlfn.STDEV.P('Team Metrics'!$AB$2:$AB$65),0)) + (0.05*IFERROR((AA25-AVERAGE('Team Metrics'!$S$2:$S$65))/IF(_xlfn.STDEV.P('Team Metrics'!$S$2:$S$65)=0,1,_xlfn.STDEV.P('Team Metrics'!$S$2:$S$65)),0)),4))</f>
        <v>0.4975</v>
      </c>
      <c r="L25" s="12">
        <f>IF($S25=FALSE(),"",ROUND((0.35*IFERROR((AB25-AVERAGE('Team Metrics'!$X$2:$X$65))/_xlfn.STDEV.P('Team Metrics'!$X$2:$X$65),0)) + (0.2*IFERROR((AC25-AVERAGE('Team Metrics'!$W$2:$W$65))/_xlfn.STDEV.P('Team Metrics'!$W$2:$W$65),0)) + (0.15*IFERROR((AD25-AVERAGE('Team Metrics'!$Y$2:$Y$65))/_xlfn.STDEV.P('Team Metrics'!$Y$2:$Y$65),0)) + (0.1*IFERROR((AE25-AVERAGE('Team Metrics'!$Z$2:$Z$65))/_xlfn.STDEV.P('Team Metrics'!$Z$2:$Z$65),0)) + (0.1*IFERROR((AF25-AVERAGE('Team Metrics'!$AA$2:$AA$65))/_xlfn.STDEV.P('Team Metrics'!$AA$2:$AA$65),0)) + (0.05*IFERROR((AG25-AVERAGE('Team Metrics'!$AB$2:$AB$65))/_xlfn.STDEV.P('Team Metrics'!$AB$2:$AB$65),0)) + (0.05*IFERROR((AH25-AVERAGE('Team Metrics'!$S$2:$S$65))/IF(_xlfn.STDEV.P('Team Metrics'!$S$2:$S$65)=0,1,_xlfn.STDEV.P('Team Metrics'!$S$2:$S$65)),0)),4))</f>
        <v>-0.3357</v>
      </c>
      <c r="M25" s="12">
        <f t="shared" si="0"/>
        <v>0.83320000000000005</v>
      </c>
      <c r="N25" s="10" t="str">
        <f t="shared" si="1"/>
        <v>Houston</v>
      </c>
      <c r="O25" s="7">
        <f t="shared" si="2"/>
        <v>60</v>
      </c>
      <c r="P25" s="5" t="str">
        <f t="shared" si="3"/>
        <v/>
      </c>
      <c r="Q25" s="5" t="s">
        <v>136</v>
      </c>
      <c r="R25" s="5" t="s">
        <v>132</v>
      </c>
      <c r="S25" s="10" t="b">
        <f t="shared" si="4"/>
        <v>1</v>
      </c>
      <c r="T25" s="5" t="str">
        <f t="shared" si="5"/>
        <v>ΔComposite=0.83; AdjNET Δ=26.6; 3PT Δ=-2.3; TO Δ=3.8; REB Δ=10</v>
      </c>
      <c r="U25" s="16">
        <f t="array" ref="U25">IF($S25=FALSE(),"",ROUND((0.75*INDEX('Team Ratings'!$G$2:$G$73,MATCH($G25,'Team Ratings'!$A$2:$A$73,0)))+(0.25*INDEX('Team Ratings'!$T$2:$T$73,MATCH($G25,'Team Ratings'!$A$2:$A$73,0))),3))</f>
        <v>31.975000000000001</v>
      </c>
      <c r="V25" s="16">
        <f t="array" ref="V25">IF($S25=FALSE(),"",ROUND(INDEX('Team Ratings'!$T$2:$T$73,MATCH($G25,'Team Ratings'!$A$2:$A$73,0))-INDEX('Team Ratings'!$G$2:$G$73,MATCH($G25,'Team Ratings'!$A$2:$A$73,0)),3))</f>
        <v>-3.7</v>
      </c>
      <c r="W25" s="16">
        <f t="array" ref="W25">IF($S25=FALSE(),"",ROUND(INDEX('Team Ratings'!$O$2:$O$73,MATCH($G25,'Team Ratings'!$A$2:$A$73,0))-INDEX('Team Ratings'!$P$2:$P$73,MATCH($H25,'Team Ratings'!$A$2:$A$73,0)),3))</f>
        <v>0.1</v>
      </c>
      <c r="X25" s="16">
        <f t="array" ref="X25">IF($S25=FALSE(),"",ROUND(INDEX('Team Ratings'!$K$2:$K$73,MATCH($G25,'Team Ratings'!$A$2:$A$73,0))-INDEX('Team Ratings'!$J$2:$J$73,MATCH($H25,'Team Ratings'!$A$2:$A$73,0)),3))</f>
        <v>6</v>
      </c>
      <c r="Y25" s="16">
        <f t="array" ref="Y25">IF($S25=FALSE(),"",ROUND(MAX(0,MIN(10,5+((INDEX('Team Ratings'!$L$2:$L$73,MATCH($G25,'Team Ratings'!$A$2:$A$73,0))-INDEX('Team Ratings'!$M$2:$M$73,MATCH($H25,'Team Ratings'!$A$2:$A$73,0)))+(INDEX('Team Ratings'!$M$2:$M$73,MATCH($G25,'Team Ratings'!$A$2:$A$73,0))-INDEX('Team Ratings'!$L$2:$L$73,MATCH($H25,'Team Ratings'!$A$2:$A$73,0))))/2)),3))</f>
        <v>10</v>
      </c>
      <c r="Z25" s="16">
        <f t="array" ref="Z25">IF($S25=FALSE(),"",ROUND((1/I25)*4 + (INDEX('Team Ratings'!$T$2:$T$73,MATCH($G25,'Team Ratings'!$A$2:$A$73,0))/MAX('Team Ratings'!$T$2:$T$73))*4 + (1-(INDEX('Team Ratings'!$J$2:$J$73,MATCH($G25,'Team Ratings'!$A$2:$A$73,0))/MAX('Team Ratings'!$J$2:$J$73)))*2 + (INDEX('Team Ratings'!$N$2:$N$73,MATCH($G25,'Team Ratings'!$A$2:$A$73,0))/MAX('Team Ratings'!$N$2:$N$73)) + (INDEX('Team Ratings'!$M$2:$M$73,MATCH($G25,'Team Ratings'!$A$2:$A$73,0))/MAX('Team Ratings'!$M$2:$M$73)),2))</f>
        <v>7.1</v>
      </c>
      <c r="AA25" s="16">
        <f t="array" ref="AA25">IF($S25=FALSE(),"",IFERROR(INDEX('Team Ratings'!$Q$2:$Q$73,MATCH($G25,'Team Ratings'!$A$2:$A$73,0)),0))</f>
        <v>-1</v>
      </c>
      <c r="AB25" s="16">
        <f t="array" ref="AB25">IF($S25=FALSE(),"",ROUND((0.75*INDEX('Team Ratings'!$G$2:$G$73,MATCH($H25,'Team Ratings'!$A$2:$A$73,0)))+(0.25*INDEX('Team Ratings'!$T$2:$T$73,MATCH($H25,'Team Ratings'!$A$2:$A$73,0))),3))</f>
        <v>5.4</v>
      </c>
      <c r="AC25" s="16">
        <f t="array" ref="AC25">IF($S25=FALSE(),"",ROUND(INDEX('Team Ratings'!$T$2:$T$73,MATCH($H25,'Team Ratings'!$A$2:$A$73,0))-INDEX('Team Ratings'!$G$2:$G$73,MATCH($H25,'Team Ratings'!$A$2:$A$73,0)),3))</f>
        <v>11.2</v>
      </c>
      <c r="AD25" s="16">
        <f t="array" ref="AD25">IF($S25=FALSE(),"",ROUND(INDEX('Team Ratings'!$O$2:$O$73,MATCH($H25,'Team Ratings'!$A$2:$A$73,0))-INDEX('Team Ratings'!$P$2:$P$73,MATCH($G25,'Team Ratings'!$A$2:$A$73,0)),3))</f>
        <v>2.4</v>
      </c>
      <c r="AE25" s="16">
        <f t="array" ref="AE25">IF($S25=FALSE(),"",ROUND(INDEX('Team Ratings'!$K$2:$K$73,MATCH($H25,'Team Ratings'!$A$2:$A$73,0))-INDEX('Team Ratings'!$J$2:$J$73,MATCH($G25,'Team Ratings'!$A$2:$A$73,0)),3))</f>
        <v>2.2000000000000002</v>
      </c>
      <c r="AF25" s="16">
        <f t="array" ref="AF25">IF($S25=FALSE(),"",ROUND(MAX(0,MIN(10,5+((INDEX('Team Ratings'!$L$2:$L$73,MATCH($H25,'Team Ratings'!$A$2:$A$73,0))-INDEX('Team Ratings'!$M$2:$M$73,MATCH($G25,'Team Ratings'!$A$2:$A$73,0)))+(INDEX('Team Ratings'!$M$2:$M$73,MATCH($H25,'Team Ratings'!$A$2:$A$73,0))-INDEX('Team Ratings'!$L$2:$L$73,MATCH($G25,'Team Ratings'!$A$2:$A$73,0))))/2)),3))</f>
        <v>0</v>
      </c>
      <c r="AG25" s="16">
        <f t="array" ref="AG25">IF($S25=FALSE(),"",ROUND((1/J25)*4 + (INDEX('Team Ratings'!$T$2:$T$73,MATCH($H25,'Team Ratings'!$A$2:$A$73,0))/MAX('Team Ratings'!$T$2:$T$73))*4 + (1-(INDEX('Team Ratings'!$J$2:$J$73,MATCH($H25,'Team Ratings'!$A$2:$A$73,0))/MAX('Team Ratings'!$J$2:$J$73)))*2 + (INDEX('Team Ratings'!$N$2:$N$73,MATCH($H25,'Team Ratings'!$A$2:$A$73,0))/MAX('Team Ratings'!$N$2:$N$73)) + (INDEX('Team Ratings'!$M$2:$M$73,MATCH($H25,'Team Ratings'!$A$2:$A$73,0))/MAX('Team Ratings'!$M$2:$M$73)),2))</f>
        <v>3.59</v>
      </c>
      <c r="AH25" s="16">
        <f t="array" ref="AH25">IF($S25=FALSE(),"",IFERROR(INDEX('Team Ratings'!$Q$2:$Q$73,MATCH($H25,'Team Ratings'!$A$2:$A$73,0)),0))</f>
        <v>0</v>
      </c>
      <c r="AI25" s="10" t="b">
        <f t="shared" si="6"/>
        <v>1</v>
      </c>
      <c r="AJ25" s="10"/>
      <c r="AK25" s="10" t="str">
        <f t="shared" si="7"/>
        <v>Houston</v>
      </c>
      <c r="AL25" s="10">
        <v>9</v>
      </c>
    </row>
    <row r="26" spans="1:38" ht="20" customHeight="1" x14ac:dyDescent="0.2">
      <c r="A26" s="14" t="s">
        <v>124</v>
      </c>
      <c r="B26" s="14" t="s">
        <v>201</v>
      </c>
      <c r="C26" s="5">
        <f>_xlfn.SWITCH(B26,
 "Round 1",1,
 "Round 2",2,
 "Sweet 16",3,
 "Elite 8",4,
 "Final Four",5,
 "Championship",6
)*100
+
COUNTIF($B$2:B26,B26)</f>
        <v>125</v>
      </c>
      <c r="D26" s="5" t="s">
        <v>79</v>
      </c>
      <c r="E26" s="5"/>
      <c r="F26" s="5"/>
      <c r="G26" s="5" t="s">
        <v>96</v>
      </c>
      <c r="H26" s="5" t="s">
        <v>78</v>
      </c>
      <c r="I26" s="15">
        <f t="array" ref="I26">IFERROR(INDEX('Team Ratings'!$B$2:$B$73,MATCH($G26,'Team Ratings'!$A$2:$A$73,0)),"")</f>
        <v>16</v>
      </c>
      <c r="J26" s="15">
        <f t="array" ref="J26">IFERROR(INDEX('Team Ratings'!$B$2:$B$73,MATCH($H26,'Team Ratings'!$A$2:$A$73,0)),"")</f>
        <v>1</v>
      </c>
      <c r="K26" s="12">
        <f>IF($S26=FALSE(),"",ROUND((0.35*IFERROR((U26-AVERAGE('Team Metrics'!$X$2:$X$65))/_xlfn.STDEV.P('Team Metrics'!$X$2:$X$65),0)) + (0.2*IFERROR((V26-AVERAGE('Team Metrics'!$W$2:$W$65))/_xlfn.STDEV.P('Team Metrics'!$W$2:$W$65),0)) + (0.15*IFERROR((W26-AVERAGE('Team Metrics'!$Y$2:$Y$65))/_xlfn.STDEV.P('Team Metrics'!$Y$2:$Y$65),0)) + (0.1*IFERROR((X26-AVERAGE('Team Metrics'!$Z$2:$Z$65))/_xlfn.STDEV.P('Team Metrics'!$Z$2:$Z$65),0)) + (0.1*IFERROR((Y26-AVERAGE('Team Metrics'!$AA$2:$AA$65))/_xlfn.STDEV.P('Team Metrics'!$AA$2:$AA$65),0)) + (0.05*IFERROR((Z26-AVERAGE('Team Metrics'!$AB$2:$AB$65))/_xlfn.STDEV.P('Team Metrics'!$AB$2:$AB$65),0)) + (0.05*IFERROR((AA26-AVERAGE('Team Metrics'!$S$2:$S$65))/IF(_xlfn.STDEV.P('Team Metrics'!$S$2:$S$65)=0,1,_xlfn.STDEV.P('Team Metrics'!$S$2:$S$65)),0)),4))</f>
        <v>-0.51580000000000004</v>
      </c>
      <c r="L26" s="12">
        <f>IF($S26=FALSE(),"",ROUND((0.35*IFERROR((AB26-AVERAGE('Team Metrics'!$X$2:$X$65))/_xlfn.STDEV.P('Team Metrics'!$X$2:$X$65),0)) + (0.2*IFERROR((AC26-AVERAGE('Team Metrics'!$W$2:$W$65))/_xlfn.STDEV.P('Team Metrics'!$W$2:$W$65),0)) + (0.15*IFERROR((AD26-AVERAGE('Team Metrics'!$Y$2:$Y$65))/_xlfn.STDEV.P('Team Metrics'!$Y$2:$Y$65),0)) + (0.1*IFERROR((AE26-AVERAGE('Team Metrics'!$Z$2:$Z$65))/_xlfn.STDEV.P('Team Metrics'!$Z$2:$Z$65),0)) + (0.1*IFERROR((AF26-AVERAGE('Team Metrics'!$AA$2:$AA$65))/_xlfn.STDEV.P('Team Metrics'!$AA$2:$AA$65),0)) + (0.05*IFERROR((AG26-AVERAGE('Team Metrics'!$AB$2:$AB$65))/_xlfn.STDEV.P('Team Metrics'!$AB$2:$AB$65),0)) + (0.05*IFERROR((AH26-AVERAGE('Team Metrics'!$S$2:$S$65))/IF(_xlfn.STDEV.P('Team Metrics'!$S$2:$S$65)=0,1,_xlfn.STDEV.P('Team Metrics'!$S$2:$S$65)),0)),4))</f>
        <v>0.15359999999999999</v>
      </c>
      <c r="M26" s="12">
        <f t="shared" si="0"/>
        <v>-0.6694</v>
      </c>
      <c r="N26" s="10" t="str">
        <f t="shared" si="1"/>
        <v>Michigan</v>
      </c>
      <c r="O26" s="7">
        <f t="shared" si="2"/>
        <v>58</v>
      </c>
      <c r="P26" s="5" t="str">
        <f t="shared" si="3"/>
        <v/>
      </c>
      <c r="Q26" s="5" t="s">
        <v>125</v>
      </c>
      <c r="R26" s="5" t="s">
        <v>123</v>
      </c>
      <c r="S26" s="10" t="b">
        <f t="shared" si="4"/>
        <v>1</v>
      </c>
      <c r="T26" s="5" t="str">
        <f t="shared" si="5"/>
        <v>ΔComposite=0.67; AdjNET Δ=-37.9; 3PT Δ=-1.1; TO Δ=8.9; REB Δ=5.5</v>
      </c>
      <c r="U26" s="16">
        <f t="array" ref="U26">IF($S26=FALSE(),"",ROUND((0.75*INDEX('Team Ratings'!$G$2:$G$73,MATCH($G26,'Team Ratings'!$A$2:$A$73,0)))+(0.25*INDEX('Team Ratings'!$T$2:$T$73,MATCH($G26,'Team Ratings'!$A$2:$A$73,0))),3))</f>
        <v>-3.4249999999999998</v>
      </c>
      <c r="V26" s="16">
        <f t="array" ref="V26">IF($S26=FALSE(),"",ROUND(INDEX('Team Ratings'!$T$2:$T$73,MATCH($G26,'Team Ratings'!$A$2:$A$73,0))-INDEX('Team Ratings'!$G$2:$G$73,MATCH($G26,'Team Ratings'!$A$2:$A$73,0)),3))</f>
        <v>-2.9</v>
      </c>
      <c r="W26" s="16">
        <f t="array" ref="W26">IF($S26=FALSE(),"",ROUND(INDEX('Team Ratings'!$O$2:$O$73,MATCH($G26,'Team Ratings'!$A$2:$A$73,0))-INDEX('Team Ratings'!$P$2:$P$73,MATCH($H26,'Team Ratings'!$A$2:$A$73,0)),3))</f>
        <v>4.5</v>
      </c>
      <c r="X26" s="16">
        <f t="array" ref="X26">IF($S26=FALSE(),"",ROUND(INDEX('Team Ratings'!$K$2:$K$73,MATCH($G26,'Team Ratings'!$A$2:$A$73,0))-INDEX('Team Ratings'!$J$2:$J$73,MATCH($H26,'Team Ratings'!$A$2:$A$73,0)),3))</f>
        <v>4.5999999999999996</v>
      </c>
      <c r="Y26" s="16">
        <f t="array" ref="Y26">IF($S26=FALSE(),"",ROUND(MAX(0,MIN(10,5+((INDEX('Team Ratings'!$L$2:$L$73,MATCH($G26,'Team Ratings'!$A$2:$A$73,0))-INDEX('Team Ratings'!$M$2:$M$73,MATCH($H26,'Team Ratings'!$A$2:$A$73,0)))+(INDEX('Team Ratings'!$M$2:$M$73,MATCH($G26,'Team Ratings'!$A$2:$A$73,0))-INDEX('Team Ratings'!$L$2:$L$73,MATCH($H26,'Team Ratings'!$A$2:$A$73,0))))/2)),3))</f>
        <v>7.75</v>
      </c>
      <c r="Z26" s="16">
        <f t="array" ref="Z26">IF($S26=FALSE(),"",ROUND((1/I26)*4 + (INDEX('Team Ratings'!$T$2:$T$73,MATCH($G26,'Team Ratings'!$A$2:$A$73,0))/MAX('Team Ratings'!$T$2:$T$73))*4 + (1-(INDEX('Team Ratings'!$J$2:$J$73,MATCH($G26,'Team Ratings'!$A$2:$A$73,0))/MAX('Team Ratings'!$J$2:$J$73)))*2 + (INDEX('Team Ratings'!$N$2:$N$73,MATCH($G26,'Team Ratings'!$A$2:$A$73,0))/MAX('Team Ratings'!$N$2:$N$73)) + (INDEX('Team Ratings'!$M$2:$M$73,MATCH($G26,'Team Ratings'!$A$2:$A$73,0))/MAX('Team Ratings'!$M$2:$M$73)),2))</f>
        <v>1.56</v>
      </c>
      <c r="AA26" s="16">
        <f t="array" ref="AA26">IF($S26=FALSE(),"",IFERROR(INDEX('Team Ratings'!$Q$2:$Q$73,MATCH($G26,'Team Ratings'!$A$2:$A$73,0)),0))</f>
        <v>0</v>
      </c>
      <c r="AB26" s="16">
        <f t="array" ref="AB26">IF($S26=FALSE(),"",ROUND((0.75*INDEX('Team Ratings'!$G$2:$G$73,MATCH($H26,'Team Ratings'!$A$2:$A$73,0)))+(0.25*INDEX('Team Ratings'!$T$2:$T$73,MATCH($H26,'Team Ratings'!$A$2:$A$73,0))),3))</f>
        <v>34.5</v>
      </c>
      <c r="AC26" s="16">
        <f t="array" ref="AC26">IF($S26=FALSE(),"",ROUND(INDEX('Team Ratings'!$T$2:$T$73,MATCH($H26,'Team Ratings'!$A$2:$A$73,0))-INDEX('Team Ratings'!$G$2:$G$73,MATCH($H26,'Team Ratings'!$A$2:$A$73,0)),3))</f>
        <v>-8.8000000000000007</v>
      </c>
      <c r="AD26" s="16">
        <f t="array" ref="AD26">IF($S26=FALSE(),"",ROUND(INDEX('Team Ratings'!$O$2:$O$73,MATCH($H26,'Team Ratings'!$A$2:$A$73,0))-INDEX('Team Ratings'!$P$2:$P$73,MATCH($G26,'Team Ratings'!$A$2:$A$73,0)),3))</f>
        <v>5.6</v>
      </c>
      <c r="AE26" s="16">
        <f t="array" ref="AE26">IF($S26=FALSE(),"",ROUND(INDEX('Team Ratings'!$K$2:$K$73,MATCH($H26,'Team Ratings'!$A$2:$A$73,0))-INDEX('Team Ratings'!$J$2:$J$73,MATCH($G26,'Team Ratings'!$A$2:$A$73,0)),3))</f>
        <v>-4.3</v>
      </c>
      <c r="AF26" s="16">
        <f t="array" ref="AF26">IF($S26=FALSE(),"",ROUND(MAX(0,MIN(10,5+((INDEX('Team Ratings'!$L$2:$L$73,MATCH($H26,'Team Ratings'!$A$2:$A$73,0))-INDEX('Team Ratings'!$M$2:$M$73,MATCH($G26,'Team Ratings'!$A$2:$A$73,0)))+(INDEX('Team Ratings'!$M$2:$M$73,MATCH($H26,'Team Ratings'!$A$2:$A$73,0))-INDEX('Team Ratings'!$L$2:$L$73,MATCH($G26,'Team Ratings'!$A$2:$A$73,0))))/2)),3))</f>
        <v>2.25</v>
      </c>
      <c r="AG26" s="16">
        <f t="array" ref="AG26">IF($S26=FALSE(),"",ROUND((1/J26)*4 + (INDEX('Team Ratings'!$T$2:$T$73,MATCH($H26,'Team Ratings'!$A$2:$A$73,0))/MAX('Team Ratings'!$T$2:$T$73))*4 + (1-(INDEX('Team Ratings'!$J$2:$J$73,MATCH($H26,'Team Ratings'!$A$2:$A$73,0))/MAX('Team Ratings'!$J$2:$J$73)))*2 + (INDEX('Team Ratings'!$N$2:$N$73,MATCH($H26,'Team Ratings'!$A$2:$A$73,0))/MAX('Team Ratings'!$N$2:$N$73)) + (INDEX('Team Ratings'!$M$2:$M$73,MATCH($H26,'Team Ratings'!$A$2:$A$73,0))/MAX('Team Ratings'!$M$2:$M$73)),2))</f>
        <v>8.74</v>
      </c>
      <c r="AH26" s="16">
        <f t="array" ref="AH26">IF($S26=FALSE(),"",IFERROR(INDEX('Team Ratings'!$Q$2:$Q$73,MATCH($H26,'Team Ratings'!$A$2:$A$73,0)),0))</f>
        <v>-2</v>
      </c>
      <c r="AI26" s="10" t="b">
        <f t="shared" si="6"/>
        <v>1</v>
      </c>
      <c r="AJ26" s="10"/>
      <c r="AK26" s="10" t="str">
        <f t="shared" si="7"/>
        <v>Michigan</v>
      </c>
      <c r="AL26" s="10">
        <v>9</v>
      </c>
    </row>
    <row r="27" spans="1:38" ht="20" customHeight="1" x14ac:dyDescent="0.2">
      <c r="A27" s="14" t="s">
        <v>168</v>
      </c>
      <c r="B27" s="14" t="s">
        <v>201</v>
      </c>
      <c r="C27" s="5">
        <f>_xlfn.SWITCH(B27,
 "Round 1",1,
 "Round 2",2,
 "Sweet 16",3,
 "Elite 8",4,
 "Final Four",5,
 "Championship",6
)*100
+
COUNTIF($B$2:B27,B27)</f>
        <v>126</v>
      </c>
      <c r="D27" s="5" t="s">
        <v>79</v>
      </c>
      <c r="E27" s="5"/>
      <c r="F27" s="5"/>
      <c r="G27" s="5" t="s">
        <v>86</v>
      </c>
      <c r="H27" s="5" t="s">
        <v>87</v>
      </c>
      <c r="I27" s="15">
        <f t="array" ref="I27">IFERROR(INDEX('Team Ratings'!$B$2:$B$73,MATCH($G27,'Team Ratings'!$A$2:$A$73,0)),"")</f>
        <v>8</v>
      </c>
      <c r="J27" s="15">
        <f t="array" ref="J27">IFERROR(INDEX('Team Ratings'!$B$2:$B$73,MATCH($H27,'Team Ratings'!$A$2:$A$73,0)),"")</f>
        <v>9</v>
      </c>
      <c r="K27" s="12">
        <f>IF($S27=FALSE(),"",ROUND((0.35*IFERROR((U27-AVERAGE('Team Metrics'!$X$2:$X$65))/_xlfn.STDEV.P('Team Metrics'!$X$2:$X$65),0)) + (0.2*IFERROR((V27-AVERAGE('Team Metrics'!$W$2:$W$65))/_xlfn.STDEV.P('Team Metrics'!$W$2:$W$65),0)) + (0.15*IFERROR((W27-AVERAGE('Team Metrics'!$Y$2:$Y$65))/_xlfn.STDEV.P('Team Metrics'!$Y$2:$Y$65),0)) + (0.1*IFERROR((X27-AVERAGE('Team Metrics'!$Z$2:$Z$65))/_xlfn.STDEV.P('Team Metrics'!$Z$2:$Z$65),0)) + (0.1*IFERROR((Y27-AVERAGE('Team Metrics'!$AA$2:$AA$65))/_xlfn.STDEV.P('Team Metrics'!$AA$2:$AA$65),0)) + (0.05*IFERROR((Z27-AVERAGE('Team Metrics'!$AB$2:$AB$65))/_xlfn.STDEV.P('Team Metrics'!$AB$2:$AB$65),0)) + (0.05*IFERROR((AA27-AVERAGE('Team Metrics'!$S$2:$S$65))/IF(_xlfn.STDEV.P('Team Metrics'!$S$2:$S$65)=0,1,_xlfn.STDEV.P('Team Metrics'!$S$2:$S$65)),0)),4))</f>
        <v>0.21210000000000001</v>
      </c>
      <c r="L27" s="12">
        <f>IF($S27=FALSE(),"",ROUND((0.35*IFERROR((AB27-AVERAGE('Team Metrics'!$X$2:$X$65))/_xlfn.STDEV.P('Team Metrics'!$X$2:$X$65),0)) + (0.2*IFERROR((AC27-AVERAGE('Team Metrics'!$W$2:$W$65))/_xlfn.STDEV.P('Team Metrics'!$W$2:$W$65),0)) + (0.15*IFERROR((AD27-AVERAGE('Team Metrics'!$Y$2:$Y$65))/_xlfn.STDEV.P('Team Metrics'!$Y$2:$Y$65),0)) + (0.1*IFERROR((AE27-AVERAGE('Team Metrics'!$Z$2:$Z$65))/_xlfn.STDEV.P('Team Metrics'!$Z$2:$Z$65),0)) + (0.1*IFERROR((AF27-AVERAGE('Team Metrics'!$AA$2:$AA$65))/_xlfn.STDEV.P('Team Metrics'!$AA$2:$AA$65),0)) + (0.05*IFERROR((AG27-AVERAGE('Team Metrics'!$AB$2:$AB$65))/_xlfn.STDEV.P('Team Metrics'!$AB$2:$AB$65),0)) + (0.05*IFERROR((AH27-AVERAGE('Team Metrics'!$S$2:$S$65))/IF(_xlfn.STDEV.P('Team Metrics'!$S$2:$S$65)=0,1,_xlfn.STDEV.P('Team Metrics'!$S$2:$S$65)),0)),4))</f>
        <v>-0.47720000000000001</v>
      </c>
      <c r="M27" s="12">
        <f t="shared" si="0"/>
        <v>0.68930000000000002</v>
      </c>
      <c r="N27" s="10" t="str">
        <f t="shared" si="1"/>
        <v>Georgia</v>
      </c>
      <c r="O27" s="7">
        <f t="shared" si="2"/>
        <v>58.3</v>
      </c>
      <c r="P27" s="5" t="str">
        <f t="shared" si="3"/>
        <v/>
      </c>
      <c r="Q27" s="5" t="s">
        <v>125</v>
      </c>
      <c r="R27" s="5" t="s">
        <v>132</v>
      </c>
      <c r="S27" s="10" t="b">
        <f t="shared" si="4"/>
        <v>1</v>
      </c>
      <c r="T27" s="5" t="str">
        <f t="shared" si="5"/>
        <v>ΔComposite=0.69; AdjNET Δ=5.6; 3PT Δ=-2.7; TO Δ=-0.8; REB Δ=10</v>
      </c>
      <c r="U27" s="16">
        <f t="array" ref="U27">IF($S27=FALSE(),"",ROUND((0.75*INDEX('Team Ratings'!$G$2:$G$73,MATCH($G27,'Team Ratings'!$A$2:$A$73,0)))+(0.25*INDEX('Team Ratings'!$T$2:$T$73,MATCH($G27,'Team Ratings'!$A$2:$A$73,0))),3))</f>
        <v>18.975000000000001</v>
      </c>
      <c r="V27" s="16">
        <f t="array" ref="V27">IF($S27=FALSE(),"",ROUND(INDEX('Team Ratings'!$T$2:$T$73,MATCH($G27,'Team Ratings'!$A$2:$A$73,0))-INDEX('Team Ratings'!$G$2:$G$73,MATCH($G27,'Team Ratings'!$A$2:$A$73,0)),3))</f>
        <v>-2.5</v>
      </c>
      <c r="W27" s="16">
        <f t="array" ref="W27">IF($S27=FALSE(),"",ROUND(INDEX('Team Ratings'!$O$2:$O$73,MATCH($G27,'Team Ratings'!$A$2:$A$73,0))-INDEX('Team Ratings'!$P$2:$P$73,MATCH($H27,'Team Ratings'!$A$2:$A$73,0)),3))</f>
        <v>4.0999999999999996</v>
      </c>
      <c r="X27" s="16">
        <f t="array" ref="X27">IF($S27=FALSE(),"",ROUND(INDEX('Team Ratings'!$K$2:$K$73,MATCH($G27,'Team Ratings'!$A$2:$A$73,0))-INDEX('Team Ratings'!$J$2:$J$73,MATCH($H27,'Team Ratings'!$A$2:$A$73,0)),3))</f>
        <v>1</v>
      </c>
      <c r="Y27" s="16">
        <f t="array" ref="Y27">IF($S27=FALSE(),"",ROUND(MAX(0,MIN(10,5+((INDEX('Team Ratings'!$L$2:$L$73,MATCH($G27,'Team Ratings'!$A$2:$A$73,0))-INDEX('Team Ratings'!$M$2:$M$73,MATCH($H27,'Team Ratings'!$A$2:$A$73,0)))+(INDEX('Team Ratings'!$M$2:$M$73,MATCH($G27,'Team Ratings'!$A$2:$A$73,0))-INDEX('Team Ratings'!$L$2:$L$73,MATCH($H27,'Team Ratings'!$A$2:$A$73,0))))/2)),3))</f>
        <v>10</v>
      </c>
      <c r="Z27" s="16">
        <f t="array" ref="Z27">IF($S27=FALSE(),"",ROUND((1/I27)*4 + (INDEX('Team Ratings'!$T$2:$T$73,MATCH($G27,'Team Ratings'!$A$2:$A$73,0))/MAX('Team Ratings'!$T$2:$T$73))*4 + (1-(INDEX('Team Ratings'!$J$2:$J$73,MATCH($G27,'Team Ratings'!$A$2:$A$73,0))/MAX('Team Ratings'!$J$2:$J$73)))*2 + (INDEX('Team Ratings'!$N$2:$N$73,MATCH($G27,'Team Ratings'!$A$2:$A$73,0))/MAX('Team Ratings'!$N$2:$N$73)) + (INDEX('Team Ratings'!$M$2:$M$73,MATCH($G27,'Team Ratings'!$A$2:$A$73,0))/MAX('Team Ratings'!$M$2:$M$73)),2))</f>
        <v>4.58</v>
      </c>
      <c r="AA27" s="16">
        <f t="array" ref="AA27">IF($S27=FALSE(),"",IFERROR(INDEX('Team Ratings'!$Q$2:$Q$73,MATCH($G27,'Team Ratings'!$A$2:$A$73,0)),0))</f>
        <v>0</v>
      </c>
      <c r="AB27" s="16">
        <f t="array" ref="AB27">IF($S27=FALSE(),"",ROUND((0.75*INDEX('Team Ratings'!$G$2:$G$73,MATCH($H27,'Team Ratings'!$A$2:$A$73,0)))+(0.25*INDEX('Team Ratings'!$T$2:$T$73,MATCH($H27,'Team Ratings'!$A$2:$A$73,0))),3))</f>
        <v>13.35</v>
      </c>
      <c r="AC27" s="16">
        <f t="array" ref="AC27">IF($S27=FALSE(),"",ROUND(INDEX('Team Ratings'!$T$2:$T$73,MATCH($H27,'Team Ratings'!$A$2:$A$73,0))-INDEX('Team Ratings'!$G$2:$G$73,MATCH($H27,'Team Ratings'!$A$2:$A$73,0)),3))</f>
        <v>-15.4</v>
      </c>
      <c r="AD27" s="16">
        <f t="array" ref="AD27">IF($S27=FALSE(),"",ROUND(INDEX('Team Ratings'!$O$2:$O$73,MATCH($H27,'Team Ratings'!$A$2:$A$73,0))-INDEX('Team Ratings'!$P$2:$P$73,MATCH($G27,'Team Ratings'!$A$2:$A$73,0)),3))</f>
        <v>6.8</v>
      </c>
      <c r="AE27" s="16">
        <f t="array" ref="AE27">IF($S27=FALSE(),"",ROUND(INDEX('Team Ratings'!$K$2:$K$73,MATCH($H27,'Team Ratings'!$A$2:$A$73,0))-INDEX('Team Ratings'!$J$2:$J$73,MATCH($G27,'Team Ratings'!$A$2:$A$73,0)),3))</f>
        <v>1.8</v>
      </c>
      <c r="AF27" s="16">
        <f t="array" ref="AF27">IF($S27=FALSE(),"",ROUND(MAX(0,MIN(10,5+((INDEX('Team Ratings'!$L$2:$L$73,MATCH($H27,'Team Ratings'!$A$2:$A$73,0))-INDEX('Team Ratings'!$M$2:$M$73,MATCH($G27,'Team Ratings'!$A$2:$A$73,0)))+(INDEX('Team Ratings'!$M$2:$M$73,MATCH($H27,'Team Ratings'!$A$2:$A$73,0))-INDEX('Team Ratings'!$L$2:$L$73,MATCH($G27,'Team Ratings'!$A$2:$A$73,0))))/2)),3))</f>
        <v>0</v>
      </c>
      <c r="AG27" s="16">
        <f t="array" ref="AG27">IF($S27=FALSE(),"",ROUND((1/J27)*4 + (INDEX('Team Ratings'!$T$2:$T$73,MATCH($H27,'Team Ratings'!$A$2:$A$73,0))/MAX('Team Ratings'!$T$2:$T$73))*4 + (1-(INDEX('Team Ratings'!$J$2:$J$73,MATCH($H27,'Team Ratings'!$A$2:$A$73,0))/MAX('Team Ratings'!$J$2:$J$73)))*2 + (INDEX('Team Ratings'!$N$2:$N$73,MATCH($H27,'Team Ratings'!$A$2:$A$73,0))/MAX('Team Ratings'!$N$2:$N$73)) + (INDEX('Team Ratings'!$M$2:$M$73,MATCH($H27,'Team Ratings'!$A$2:$A$73,0))/MAX('Team Ratings'!$M$2:$M$73)),2))</f>
        <v>2.39</v>
      </c>
      <c r="AH27" s="16">
        <f t="array" ref="AH27">IF($S27=FALSE(),"",IFERROR(INDEX('Team Ratings'!$Q$2:$Q$73,MATCH($H27,'Team Ratings'!$A$2:$A$73,0)),0))</f>
        <v>0</v>
      </c>
      <c r="AI27" s="10" t="b">
        <f t="shared" si="6"/>
        <v>1</v>
      </c>
      <c r="AJ27" s="10"/>
      <c r="AK27" s="10" t="str">
        <f t="shared" si="7"/>
        <v>Georgia</v>
      </c>
      <c r="AL27" s="10">
        <v>9</v>
      </c>
    </row>
    <row r="28" spans="1:38" ht="20" customHeight="1" x14ac:dyDescent="0.2">
      <c r="A28" s="14" t="s">
        <v>156</v>
      </c>
      <c r="B28" s="14" t="s">
        <v>201</v>
      </c>
      <c r="C28" s="5">
        <f>_xlfn.SWITCH(B28,
 "Round 1",1,
 "Round 2",2,
 "Sweet 16",3,
 "Elite 8",4,
 "Final Four",5,
 "Championship",6
)*100
+
COUNTIF($B$2:B28,B28)</f>
        <v>127</v>
      </c>
      <c r="D28" s="5" t="s">
        <v>79</v>
      </c>
      <c r="E28" s="5"/>
      <c r="F28" s="5"/>
      <c r="G28" s="5" t="s">
        <v>92</v>
      </c>
      <c r="H28" s="5" t="s">
        <v>83</v>
      </c>
      <c r="I28" s="15">
        <f t="array" ref="I28">IFERROR(INDEX('Team Ratings'!$B$2:$B$73,MATCH($G28,'Team Ratings'!$A$2:$A$73,0)),"")</f>
        <v>12</v>
      </c>
      <c r="J28" s="15">
        <f t="array" ref="J28">IFERROR(INDEX('Team Ratings'!$B$2:$B$73,MATCH($H28,'Team Ratings'!$A$2:$A$73,0)),"")</f>
        <v>5</v>
      </c>
      <c r="K28" s="12">
        <f>IF($S28=FALSE(),"",ROUND((0.35*IFERROR((U28-AVERAGE('Team Metrics'!$X$2:$X$65))/_xlfn.STDEV.P('Team Metrics'!$X$2:$X$65),0)) + (0.2*IFERROR((V28-AVERAGE('Team Metrics'!$W$2:$W$65))/_xlfn.STDEV.P('Team Metrics'!$W$2:$W$65),0)) + (0.15*IFERROR((W28-AVERAGE('Team Metrics'!$Y$2:$Y$65))/_xlfn.STDEV.P('Team Metrics'!$Y$2:$Y$65),0)) + (0.1*IFERROR((X28-AVERAGE('Team Metrics'!$Z$2:$Z$65))/_xlfn.STDEV.P('Team Metrics'!$Z$2:$Z$65),0)) + (0.1*IFERROR((Y28-AVERAGE('Team Metrics'!$AA$2:$AA$65))/_xlfn.STDEV.P('Team Metrics'!$AA$2:$AA$65),0)) + (0.05*IFERROR((Z28-AVERAGE('Team Metrics'!$AB$2:$AB$65))/_xlfn.STDEV.P('Team Metrics'!$AB$2:$AB$65),0)) + (0.05*IFERROR((AA28-AVERAGE('Team Metrics'!$S$2:$S$65))/IF(_xlfn.STDEV.P('Team Metrics'!$S$2:$S$65)=0,1,_xlfn.STDEV.P('Team Metrics'!$S$2:$S$65)),0)),4))</f>
        <v>-1.11E-2</v>
      </c>
      <c r="L28" s="12">
        <f>IF($S28=FALSE(),"",ROUND((0.35*IFERROR((AB28-AVERAGE('Team Metrics'!$X$2:$X$65))/_xlfn.STDEV.P('Team Metrics'!$X$2:$X$65),0)) + (0.2*IFERROR((AC28-AVERAGE('Team Metrics'!$W$2:$W$65))/_xlfn.STDEV.P('Team Metrics'!$W$2:$W$65),0)) + (0.15*IFERROR((AD28-AVERAGE('Team Metrics'!$Y$2:$Y$65))/_xlfn.STDEV.P('Team Metrics'!$Y$2:$Y$65),0)) + (0.1*IFERROR((AE28-AVERAGE('Team Metrics'!$Z$2:$Z$65))/_xlfn.STDEV.P('Team Metrics'!$Z$2:$Z$65),0)) + (0.1*IFERROR((AF28-AVERAGE('Team Metrics'!$AA$2:$AA$65))/_xlfn.STDEV.P('Team Metrics'!$AA$2:$AA$65),0)) + (0.05*IFERROR((AG28-AVERAGE('Team Metrics'!$AB$2:$AB$65))/_xlfn.STDEV.P('Team Metrics'!$AB$2:$AB$65),0)) + (0.05*IFERROR((AH28-AVERAGE('Team Metrics'!$S$2:$S$65))/IF(_xlfn.STDEV.P('Team Metrics'!$S$2:$S$65)=0,1,_xlfn.STDEV.P('Team Metrics'!$S$2:$S$65)),0)),4))</f>
        <v>-0.18440000000000001</v>
      </c>
      <c r="M28" s="12">
        <f t="shared" si="0"/>
        <v>0.17330000000000001</v>
      </c>
      <c r="N28" s="10" t="str">
        <f t="shared" si="1"/>
        <v>Akron</v>
      </c>
      <c r="O28" s="7">
        <f t="shared" si="2"/>
        <v>52.1</v>
      </c>
      <c r="P28" s="5" t="str">
        <f t="shared" si="3"/>
        <v>UPSET</v>
      </c>
      <c r="Q28" s="5" t="s">
        <v>150</v>
      </c>
      <c r="R28" s="5" t="s">
        <v>123</v>
      </c>
      <c r="S28" s="10" t="b">
        <f t="shared" si="4"/>
        <v>1</v>
      </c>
      <c r="T28" s="5" t="str">
        <f t="shared" si="5"/>
        <v>ΔComposite=0.17; AdjNET Δ=-12.5; 3PT Δ=2.8; TO Δ=3.3; REB Δ=0</v>
      </c>
      <c r="U28" s="16">
        <f t="array" ref="U28">IF($S28=FALSE(),"",ROUND((0.75*INDEX('Team Ratings'!$G$2:$G$73,MATCH($G28,'Team Ratings'!$A$2:$A$73,0)))+(0.25*INDEX('Team Ratings'!$T$2:$T$73,MATCH($G28,'Team Ratings'!$A$2:$A$73,0))),3))</f>
        <v>11.175000000000001</v>
      </c>
      <c r="V28" s="16">
        <f t="array" ref="V28">IF($S28=FALSE(),"",ROUND(INDEX('Team Ratings'!$T$2:$T$73,MATCH($G28,'Team Ratings'!$A$2:$A$73,0))-INDEX('Team Ratings'!$G$2:$G$73,MATCH($G28,'Team Ratings'!$A$2:$A$73,0)),3))</f>
        <v>-2.5</v>
      </c>
      <c r="W28" s="16">
        <f t="array" ref="W28">IF($S28=FALSE(),"",ROUND(INDEX('Team Ratings'!$O$2:$O$73,MATCH($G28,'Team Ratings'!$A$2:$A$73,0))-INDEX('Team Ratings'!$P$2:$P$73,MATCH($H28,'Team Ratings'!$A$2:$A$73,0)),3))</f>
        <v>7</v>
      </c>
      <c r="X28" s="16">
        <f t="array" ref="X28">IF($S28=FALSE(),"",ROUND(INDEX('Team Ratings'!$K$2:$K$73,MATCH($G28,'Team Ratings'!$A$2:$A$73,0))-INDEX('Team Ratings'!$J$2:$J$73,MATCH($H28,'Team Ratings'!$A$2:$A$73,0)),3))</f>
        <v>2.5</v>
      </c>
      <c r="Y28" s="16">
        <f t="array" ref="Y28">IF($S28=FALSE(),"",ROUND(MAX(0,MIN(10,5+((INDEX('Team Ratings'!$L$2:$L$73,MATCH($G28,'Team Ratings'!$A$2:$A$73,0))-INDEX('Team Ratings'!$M$2:$M$73,MATCH($H28,'Team Ratings'!$A$2:$A$73,0)))+(INDEX('Team Ratings'!$M$2:$M$73,MATCH($G28,'Team Ratings'!$A$2:$A$73,0))-INDEX('Team Ratings'!$L$2:$L$73,MATCH($H28,'Team Ratings'!$A$2:$A$73,0))))/2)),3))</f>
        <v>5</v>
      </c>
      <c r="Z28" s="16">
        <f t="array" ref="Z28">IF($S28=FALSE(),"",ROUND((1/I28)*4 + (INDEX('Team Ratings'!$T$2:$T$73,MATCH($G28,'Team Ratings'!$A$2:$A$73,0))/MAX('Team Ratings'!$T$2:$T$73))*4 + (1-(INDEX('Team Ratings'!$J$2:$J$73,MATCH($G28,'Team Ratings'!$A$2:$A$73,0))/MAX('Team Ratings'!$J$2:$J$73)))*2 + (INDEX('Team Ratings'!$N$2:$N$73,MATCH($G28,'Team Ratings'!$A$2:$A$73,0))/MAX('Team Ratings'!$N$2:$N$73)) + (INDEX('Team Ratings'!$M$2:$M$73,MATCH($G28,'Team Ratings'!$A$2:$A$73,0))/MAX('Team Ratings'!$M$2:$M$73)),2))</f>
        <v>3.19</v>
      </c>
      <c r="AA28" s="16">
        <f t="array" ref="AA28">IF($S28=FALSE(),"",IFERROR(INDEX('Team Ratings'!$Q$2:$Q$73,MATCH($G28,'Team Ratings'!$A$2:$A$73,0)),0))</f>
        <v>0</v>
      </c>
      <c r="AB28" s="16">
        <f t="array" ref="AB28">IF($S28=FALSE(),"",ROUND((0.75*INDEX('Team Ratings'!$G$2:$G$73,MATCH($H28,'Team Ratings'!$A$2:$A$73,0)))+(0.25*INDEX('Team Ratings'!$T$2:$T$73,MATCH($H28,'Team Ratings'!$A$2:$A$73,0))),3))</f>
        <v>23.7</v>
      </c>
      <c r="AC28" s="16">
        <f t="array" ref="AC28">IF($S28=FALSE(),"",ROUND(INDEX('Team Ratings'!$T$2:$T$73,MATCH($H28,'Team Ratings'!$A$2:$A$73,0))-INDEX('Team Ratings'!$G$2:$G$73,MATCH($H28,'Team Ratings'!$A$2:$A$73,0)),3))</f>
        <v>-15.2</v>
      </c>
      <c r="AD28" s="16">
        <f t="array" ref="AD28">IF($S28=FALSE(),"",ROUND(INDEX('Team Ratings'!$O$2:$O$73,MATCH($H28,'Team Ratings'!$A$2:$A$73,0))-INDEX('Team Ratings'!$P$2:$P$73,MATCH($G28,'Team Ratings'!$A$2:$A$73,0)),3))</f>
        <v>4.2</v>
      </c>
      <c r="AE28" s="16">
        <f t="array" ref="AE28">IF($S28=FALSE(),"",ROUND(INDEX('Team Ratings'!$K$2:$K$73,MATCH($H28,'Team Ratings'!$A$2:$A$73,0))-INDEX('Team Ratings'!$J$2:$J$73,MATCH($G28,'Team Ratings'!$A$2:$A$73,0)),3))</f>
        <v>-0.8</v>
      </c>
      <c r="AF28" s="16">
        <f t="array" ref="AF28">IF($S28=FALSE(),"",ROUND(MAX(0,MIN(10,5+((INDEX('Team Ratings'!$L$2:$L$73,MATCH($H28,'Team Ratings'!$A$2:$A$73,0))-INDEX('Team Ratings'!$M$2:$M$73,MATCH($G28,'Team Ratings'!$A$2:$A$73,0)))+(INDEX('Team Ratings'!$M$2:$M$73,MATCH($H28,'Team Ratings'!$A$2:$A$73,0))-INDEX('Team Ratings'!$L$2:$L$73,MATCH($G28,'Team Ratings'!$A$2:$A$73,0))))/2)),3))</f>
        <v>5</v>
      </c>
      <c r="AG28" s="16">
        <f t="array" ref="AG28">IF($S28=FALSE(),"",ROUND((1/J28)*4 + (INDEX('Team Ratings'!$T$2:$T$73,MATCH($H28,'Team Ratings'!$A$2:$A$73,0))/MAX('Team Ratings'!$T$2:$T$73))*4 + (1-(INDEX('Team Ratings'!$J$2:$J$73,MATCH($H28,'Team Ratings'!$A$2:$A$73,0))/MAX('Team Ratings'!$J$2:$J$73)))*2 + (INDEX('Team Ratings'!$N$2:$N$73,MATCH($H28,'Team Ratings'!$A$2:$A$73,0))/MAX('Team Ratings'!$N$2:$N$73)) + (INDEX('Team Ratings'!$M$2:$M$73,MATCH($H28,'Team Ratings'!$A$2:$A$73,0))/MAX('Team Ratings'!$M$2:$M$73)),2))</f>
        <v>3.88</v>
      </c>
      <c r="AH28" s="16">
        <f t="array" ref="AH28">IF($S28=FALSE(),"",IFERROR(INDEX('Team Ratings'!$Q$2:$Q$73,MATCH($H28,'Team Ratings'!$A$2:$A$73,0)),0))</f>
        <v>0</v>
      </c>
      <c r="AI28" s="10" t="b">
        <f t="shared" si="6"/>
        <v>1</v>
      </c>
      <c r="AJ28" s="10"/>
      <c r="AK28" s="10" t="str">
        <f t="shared" si="7"/>
        <v>Akron</v>
      </c>
      <c r="AL28" s="10">
        <v>9</v>
      </c>
    </row>
    <row r="29" spans="1:38" ht="20" customHeight="1" x14ac:dyDescent="0.2">
      <c r="A29" s="14" t="s">
        <v>149</v>
      </c>
      <c r="B29" s="14" t="s">
        <v>201</v>
      </c>
      <c r="C29" s="5">
        <f>_xlfn.SWITCH(B29,
 "Round 1",1,
 "Round 2",2,
 "Sweet 16",3,
 "Elite 8",4,
 "Final Four",5,
 "Championship",6
)*100
+
COUNTIF($B$2:B29,B29)</f>
        <v>128</v>
      </c>
      <c r="D29" s="5" t="s">
        <v>79</v>
      </c>
      <c r="E29" s="5"/>
      <c r="F29" s="5"/>
      <c r="G29" s="5" t="s">
        <v>82</v>
      </c>
      <c r="H29" s="5" t="s">
        <v>93</v>
      </c>
      <c r="I29" s="15">
        <f t="array" ref="I29">IFERROR(INDEX('Team Ratings'!$B$2:$B$73,MATCH($G29,'Team Ratings'!$A$2:$A$73,0)),"")</f>
        <v>4</v>
      </c>
      <c r="J29" s="15">
        <f t="array" ref="J29">IFERROR(INDEX('Team Ratings'!$B$2:$B$73,MATCH($H29,'Team Ratings'!$A$2:$A$73,0)),"")</f>
        <v>13</v>
      </c>
      <c r="K29" s="12">
        <f>IF($S29=FALSE(),"",ROUND((0.35*IFERROR((U29-AVERAGE('Team Metrics'!$X$2:$X$65))/_xlfn.STDEV.P('Team Metrics'!$X$2:$X$65),0)) + (0.2*IFERROR((V29-AVERAGE('Team Metrics'!$W$2:$W$65))/_xlfn.STDEV.P('Team Metrics'!$W$2:$W$65),0)) + (0.15*IFERROR((W29-AVERAGE('Team Metrics'!$Y$2:$Y$65))/_xlfn.STDEV.P('Team Metrics'!$Y$2:$Y$65),0)) + (0.1*IFERROR((X29-AVERAGE('Team Metrics'!$Z$2:$Z$65))/_xlfn.STDEV.P('Team Metrics'!$Z$2:$Z$65),0)) + (0.1*IFERROR((Y29-AVERAGE('Team Metrics'!$AA$2:$AA$65))/_xlfn.STDEV.P('Team Metrics'!$AA$2:$AA$65),0)) + (0.05*IFERROR((Z29-AVERAGE('Team Metrics'!$AB$2:$AB$65))/_xlfn.STDEV.P('Team Metrics'!$AB$2:$AB$65),0)) + (0.05*IFERROR((AA29-AVERAGE('Team Metrics'!$S$2:$S$65))/IF(_xlfn.STDEV.P('Team Metrics'!$S$2:$S$65)=0,1,_xlfn.STDEV.P('Team Metrics'!$S$2:$S$65)),0)),4))</f>
        <v>-9.4500000000000001E-2</v>
      </c>
      <c r="L29" s="12">
        <f>IF($S29=FALSE(),"",ROUND((0.35*IFERROR((AB29-AVERAGE('Team Metrics'!$X$2:$X$65))/_xlfn.STDEV.P('Team Metrics'!$X$2:$X$65),0)) + (0.2*IFERROR((AC29-AVERAGE('Team Metrics'!$W$2:$W$65))/_xlfn.STDEV.P('Team Metrics'!$W$2:$W$65),0)) + (0.15*IFERROR((AD29-AVERAGE('Team Metrics'!$Y$2:$Y$65))/_xlfn.STDEV.P('Team Metrics'!$Y$2:$Y$65),0)) + (0.1*IFERROR((AE29-AVERAGE('Team Metrics'!$Z$2:$Z$65))/_xlfn.STDEV.P('Team Metrics'!$Z$2:$Z$65),0)) + (0.1*IFERROR((AF29-AVERAGE('Team Metrics'!$AA$2:$AA$65))/_xlfn.STDEV.P('Team Metrics'!$AA$2:$AA$65),0)) + (0.05*IFERROR((AG29-AVERAGE('Team Metrics'!$AB$2:$AB$65))/_xlfn.STDEV.P('Team Metrics'!$AB$2:$AB$65),0)) + (0.05*IFERROR((AH29-AVERAGE('Team Metrics'!$S$2:$S$65))/IF(_xlfn.STDEV.P('Team Metrics'!$S$2:$S$65)=0,1,_xlfn.STDEV.P('Team Metrics'!$S$2:$S$65)),0)),4))</f>
        <v>-0.13250000000000001</v>
      </c>
      <c r="M29" s="12">
        <f t="shared" si="0"/>
        <v>3.7999999999999999E-2</v>
      </c>
      <c r="N29" s="10" t="str">
        <f t="shared" si="1"/>
        <v>Alabama</v>
      </c>
      <c r="O29" s="7">
        <f t="shared" si="2"/>
        <v>50.5</v>
      </c>
      <c r="P29" s="5" t="str">
        <f t="shared" si="3"/>
        <v/>
      </c>
      <c r="Q29" s="5" t="s">
        <v>150</v>
      </c>
      <c r="R29" s="5" t="s">
        <v>132</v>
      </c>
      <c r="S29" s="10" t="b">
        <f t="shared" si="4"/>
        <v>1</v>
      </c>
      <c r="T29" s="5" t="str">
        <f t="shared" si="5"/>
        <v>ΔComposite=0.04; AdjNET Δ=15.3; 3PT Δ=0.2; TO Δ=-5.5; REB Δ=-0.8</v>
      </c>
      <c r="U29" s="16">
        <f t="array" ref="U29">IF($S29=FALSE(),"",ROUND((0.75*INDEX('Team Ratings'!$G$2:$G$73,MATCH($G29,'Team Ratings'!$A$2:$A$73,0)))+(0.25*INDEX('Team Ratings'!$T$2:$T$73,MATCH($G29,'Team Ratings'!$A$2:$A$73,0))),3))</f>
        <v>24.7</v>
      </c>
      <c r="V29" s="16">
        <f t="array" ref="V29">IF($S29=FALSE(),"",ROUND(INDEX('Team Ratings'!$T$2:$T$73,MATCH($G29,'Team Ratings'!$A$2:$A$73,0))-INDEX('Team Ratings'!$G$2:$G$73,MATCH($G29,'Team Ratings'!$A$2:$A$73,0)),3))</f>
        <v>-8</v>
      </c>
      <c r="W29" s="16">
        <f t="array" ref="W29">IF($S29=FALSE(),"",ROUND(INDEX('Team Ratings'!$O$2:$O$73,MATCH($G29,'Team Ratings'!$A$2:$A$73,0))-INDEX('Team Ratings'!$P$2:$P$73,MATCH($H29,'Team Ratings'!$A$2:$A$73,0)),3))</f>
        <v>3.5</v>
      </c>
      <c r="X29" s="16">
        <f t="array" ref="X29">IF($S29=FALSE(),"",ROUND(INDEX('Team Ratings'!$K$2:$K$73,MATCH($G29,'Team Ratings'!$A$2:$A$73,0))-INDEX('Team Ratings'!$J$2:$J$73,MATCH($H29,'Team Ratings'!$A$2:$A$73,0)),3))</f>
        <v>-3.5</v>
      </c>
      <c r="Y29" s="16">
        <f t="array" ref="Y29">IF($S29=FALSE(),"",ROUND(MAX(0,MIN(10,5+((INDEX('Team Ratings'!$L$2:$L$73,MATCH($G29,'Team Ratings'!$A$2:$A$73,0))-INDEX('Team Ratings'!$M$2:$M$73,MATCH($H29,'Team Ratings'!$A$2:$A$73,0)))+(INDEX('Team Ratings'!$M$2:$M$73,MATCH($G29,'Team Ratings'!$A$2:$A$73,0))-INDEX('Team Ratings'!$L$2:$L$73,MATCH($H29,'Team Ratings'!$A$2:$A$73,0))))/2)),3))</f>
        <v>4.5999999999999996</v>
      </c>
      <c r="Z29" s="16">
        <f t="array" ref="Z29">IF($S29=FALSE(),"",ROUND((1/I29)*4 + (INDEX('Team Ratings'!$T$2:$T$73,MATCH($G29,'Team Ratings'!$A$2:$A$73,0))/MAX('Team Ratings'!$T$2:$T$73))*4 + (1-(INDEX('Team Ratings'!$J$2:$J$73,MATCH($G29,'Team Ratings'!$A$2:$A$73,0))/MAX('Team Ratings'!$J$2:$J$73)))*2 + (INDEX('Team Ratings'!$N$2:$N$73,MATCH($G29,'Team Ratings'!$A$2:$A$73,0))/MAX('Team Ratings'!$N$2:$N$73)) + (INDEX('Team Ratings'!$M$2:$M$73,MATCH($G29,'Team Ratings'!$A$2:$A$73,0))/MAX('Team Ratings'!$M$2:$M$73)),2))</f>
        <v>5.32</v>
      </c>
      <c r="AA29" s="16">
        <f t="array" ref="AA29">IF($S29=FALSE(),"",IFERROR(INDEX('Team Ratings'!$Q$2:$Q$73,MATCH($G29,'Team Ratings'!$A$2:$A$73,0)),0))</f>
        <v>0</v>
      </c>
      <c r="AB29" s="16">
        <f t="array" ref="AB29">IF($S29=FALSE(),"",ROUND((0.75*INDEX('Team Ratings'!$G$2:$G$73,MATCH($H29,'Team Ratings'!$A$2:$A$73,0)))+(0.25*INDEX('Team Ratings'!$T$2:$T$73,MATCH($H29,'Team Ratings'!$A$2:$A$73,0))),3))</f>
        <v>9.4</v>
      </c>
      <c r="AC29" s="16">
        <f t="array" ref="AC29">IF($S29=FALSE(),"",ROUND(INDEX('Team Ratings'!$T$2:$T$73,MATCH($H29,'Team Ratings'!$A$2:$A$73,0))-INDEX('Team Ratings'!$G$2:$G$73,MATCH($H29,'Team Ratings'!$A$2:$A$73,0)),3))</f>
        <v>4.4000000000000004</v>
      </c>
      <c r="AD29" s="16">
        <f t="array" ref="AD29">IF($S29=FALSE(),"",ROUND(INDEX('Team Ratings'!$O$2:$O$73,MATCH($H29,'Team Ratings'!$A$2:$A$73,0))-INDEX('Team Ratings'!$P$2:$P$73,MATCH($G29,'Team Ratings'!$A$2:$A$73,0)),3))</f>
        <v>3.3</v>
      </c>
      <c r="AE29" s="16">
        <f t="array" ref="AE29">IF($S29=FALSE(),"",ROUND(INDEX('Team Ratings'!$K$2:$K$73,MATCH($H29,'Team Ratings'!$A$2:$A$73,0))-INDEX('Team Ratings'!$J$2:$J$73,MATCH($G29,'Team Ratings'!$A$2:$A$73,0)),3))</f>
        <v>2</v>
      </c>
      <c r="AF29" s="16">
        <f t="array" ref="AF29">IF($S29=FALSE(),"",ROUND(MAX(0,MIN(10,5+((INDEX('Team Ratings'!$L$2:$L$73,MATCH($H29,'Team Ratings'!$A$2:$A$73,0))-INDEX('Team Ratings'!$M$2:$M$73,MATCH($G29,'Team Ratings'!$A$2:$A$73,0)))+(INDEX('Team Ratings'!$M$2:$M$73,MATCH($H29,'Team Ratings'!$A$2:$A$73,0))-INDEX('Team Ratings'!$L$2:$L$73,MATCH($G29,'Team Ratings'!$A$2:$A$73,0))))/2)),3))</f>
        <v>5.4</v>
      </c>
      <c r="AG29" s="16">
        <f t="array" ref="AG29">IF($S29=FALSE(),"",ROUND((1/J29)*4 + (INDEX('Team Ratings'!$T$2:$T$73,MATCH($H29,'Team Ratings'!$A$2:$A$73,0))/MAX('Team Ratings'!$T$2:$T$73))*4 + (1-(INDEX('Team Ratings'!$J$2:$J$73,MATCH($H29,'Team Ratings'!$A$2:$A$73,0))/MAX('Team Ratings'!$J$2:$J$73)))*2 + (INDEX('Team Ratings'!$N$2:$N$73,MATCH($H29,'Team Ratings'!$A$2:$A$73,0))/MAX('Team Ratings'!$N$2:$N$73)) + (INDEX('Team Ratings'!$M$2:$M$73,MATCH($H29,'Team Ratings'!$A$2:$A$73,0))/MAX('Team Ratings'!$M$2:$M$73)),2))</f>
        <v>3.54</v>
      </c>
      <c r="AH29" s="16">
        <f t="array" ref="AH29">IF($S29=FALSE(),"",IFERROR(INDEX('Team Ratings'!$Q$2:$Q$73,MATCH($H29,'Team Ratings'!$A$2:$A$73,0)),0))</f>
        <v>0</v>
      </c>
      <c r="AI29" s="10" t="b">
        <f t="shared" si="6"/>
        <v>1</v>
      </c>
      <c r="AJ29" s="10"/>
      <c r="AK29" s="10" t="str">
        <f t="shared" si="7"/>
        <v>Alabama</v>
      </c>
      <c r="AL29" s="10">
        <v>9</v>
      </c>
    </row>
    <row r="30" spans="1:38" ht="20" customHeight="1" x14ac:dyDescent="0.2">
      <c r="A30" s="14" t="s">
        <v>160</v>
      </c>
      <c r="B30" s="14" t="s">
        <v>201</v>
      </c>
      <c r="C30" s="5">
        <f>_xlfn.SWITCH(B30,
 "Round 1",1,
 "Round 2",2,
 "Sweet 16",3,
 "Elite 8",4,
 "Final Four",5,
 "Championship",6
)*100
+
COUNTIF($B$2:B30,B30)</f>
        <v>129</v>
      </c>
      <c r="D30" s="5" t="s">
        <v>79</v>
      </c>
      <c r="E30" s="5"/>
      <c r="F30" s="5"/>
      <c r="G30" s="5" t="s">
        <v>89</v>
      </c>
      <c r="H30" s="5" t="s">
        <v>84</v>
      </c>
      <c r="I30" s="15">
        <f t="array" ref="I30">IFERROR(INDEX('Team Ratings'!$B$2:$B$73,MATCH($G30,'Team Ratings'!$A$2:$A$73,0)),"")</f>
        <v>11</v>
      </c>
      <c r="J30" s="15">
        <f t="array" ref="J30">IFERROR(INDEX('Team Ratings'!$B$2:$B$73,MATCH($H30,'Team Ratings'!$A$2:$A$73,0)),"")</f>
        <v>6</v>
      </c>
      <c r="K30" s="12">
        <f>IF($S30=FALSE(),"",ROUND((0.35*IFERROR((U30-AVERAGE('Team Metrics'!$X$2:$X$65))/_xlfn.STDEV.P('Team Metrics'!$X$2:$X$65),0)) + (0.2*IFERROR((V30-AVERAGE('Team Metrics'!$W$2:$W$65))/_xlfn.STDEV.P('Team Metrics'!$W$2:$W$65),0)) + (0.15*IFERROR((W30-AVERAGE('Team Metrics'!$Y$2:$Y$65))/_xlfn.STDEV.P('Team Metrics'!$Y$2:$Y$65),0)) + (0.1*IFERROR((X30-AVERAGE('Team Metrics'!$Z$2:$Z$65))/_xlfn.STDEV.P('Team Metrics'!$Z$2:$Z$65),0)) + (0.1*IFERROR((Y30-AVERAGE('Team Metrics'!$AA$2:$AA$65))/_xlfn.STDEV.P('Team Metrics'!$AA$2:$AA$65),0)) + (0.05*IFERROR((Z30-AVERAGE('Team Metrics'!$AB$2:$AB$65))/_xlfn.STDEV.P('Team Metrics'!$AB$2:$AB$65),0)) + (0.05*IFERROR((AA30-AVERAGE('Team Metrics'!$S$2:$S$65))/IF(_xlfn.STDEV.P('Team Metrics'!$S$2:$S$65)=0,1,_xlfn.STDEV.P('Team Metrics'!$S$2:$S$65)),0)),4))</f>
        <v>-0.46510000000000001</v>
      </c>
      <c r="L30" s="12">
        <f>IF($S30=FALSE(),"",ROUND((0.35*IFERROR((AB30-AVERAGE('Team Metrics'!$X$2:$X$65))/_xlfn.STDEV.P('Team Metrics'!$X$2:$X$65),0)) + (0.2*IFERROR((AC30-AVERAGE('Team Metrics'!$W$2:$W$65))/_xlfn.STDEV.P('Team Metrics'!$W$2:$W$65),0)) + (0.15*IFERROR((AD30-AVERAGE('Team Metrics'!$Y$2:$Y$65))/_xlfn.STDEV.P('Team Metrics'!$Y$2:$Y$65),0)) + (0.1*IFERROR((AE30-AVERAGE('Team Metrics'!$Z$2:$Z$65))/_xlfn.STDEV.P('Team Metrics'!$Z$2:$Z$65),0)) + (0.1*IFERROR((AF30-AVERAGE('Team Metrics'!$AA$2:$AA$65))/_xlfn.STDEV.P('Team Metrics'!$AA$2:$AA$65),0)) + (0.05*IFERROR((AG30-AVERAGE('Team Metrics'!$AB$2:$AB$65))/_xlfn.STDEV.P('Team Metrics'!$AB$2:$AB$65),0)) + (0.05*IFERROR((AH30-AVERAGE('Team Metrics'!$S$2:$S$65))/IF(_xlfn.STDEV.P('Team Metrics'!$S$2:$S$65)=0,1,_xlfn.STDEV.P('Team Metrics'!$S$2:$S$65)),0)),4))</f>
        <v>0.1928</v>
      </c>
      <c r="M30" s="12">
        <f t="shared" si="0"/>
        <v>-0.65790000000000004</v>
      </c>
      <c r="N30" s="10" t="str">
        <f t="shared" si="1"/>
        <v>Tennessee</v>
      </c>
      <c r="O30" s="7">
        <f t="shared" si="2"/>
        <v>57.9</v>
      </c>
      <c r="P30" s="5" t="str">
        <f t="shared" si="3"/>
        <v/>
      </c>
      <c r="Q30" s="5" t="s">
        <v>142</v>
      </c>
      <c r="R30" s="5" t="s">
        <v>123</v>
      </c>
      <c r="S30" s="10" t="b">
        <f t="shared" si="4"/>
        <v>1</v>
      </c>
      <c r="T30" s="5" t="str">
        <f t="shared" si="5"/>
        <v>ΔComposite=0.66; AdjNET Δ=-17.6; 3PT Δ=6.5; TO Δ=-1.4; REB Δ=-10</v>
      </c>
      <c r="U30" s="16">
        <f t="array" ref="U30">IF($S30=FALSE(),"",ROUND((0.75*INDEX('Team Ratings'!$G$2:$G$73,MATCH($G30,'Team Ratings'!$A$2:$A$73,0)))+(0.25*INDEX('Team Ratings'!$T$2:$T$73,MATCH($G30,'Team Ratings'!$A$2:$A$73,0))),3))</f>
        <v>7.6</v>
      </c>
      <c r="V30" s="16">
        <f t="array" ref="V30">IF($S30=FALSE(),"",ROUND(INDEX('Team Ratings'!$T$2:$T$73,MATCH($G30,'Team Ratings'!$A$2:$A$73,0))-INDEX('Team Ratings'!$G$2:$G$73,MATCH($G30,'Team Ratings'!$A$2:$A$73,0)),3))</f>
        <v>-6</v>
      </c>
      <c r="W30" s="16">
        <f t="array" ref="W30">IF($S30=FALSE(),"",ROUND(INDEX('Team Ratings'!$O$2:$O$73,MATCH($G30,'Team Ratings'!$A$2:$A$73,0))-INDEX('Team Ratings'!$P$2:$P$73,MATCH($H30,'Team Ratings'!$A$2:$A$73,0)),3))</f>
        <v>6.9</v>
      </c>
      <c r="X30" s="16">
        <f t="array" ref="X30">IF($S30=FALSE(),"",ROUND(INDEX('Team Ratings'!$K$2:$K$73,MATCH($G30,'Team Ratings'!$A$2:$A$73,0))-INDEX('Team Ratings'!$J$2:$J$73,MATCH($H30,'Team Ratings'!$A$2:$A$73,0)),3))</f>
        <v>0.4</v>
      </c>
      <c r="Y30" s="16">
        <f t="array" ref="Y30">IF($S30=FALSE(),"",ROUND(MAX(0,MIN(10,5+((INDEX('Team Ratings'!$L$2:$L$73,MATCH($G30,'Team Ratings'!$A$2:$A$73,0))-INDEX('Team Ratings'!$M$2:$M$73,MATCH($H30,'Team Ratings'!$A$2:$A$73,0)))+(INDEX('Team Ratings'!$M$2:$M$73,MATCH($G30,'Team Ratings'!$A$2:$A$73,0))-INDEX('Team Ratings'!$L$2:$L$73,MATCH($H30,'Team Ratings'!$A$2:$A$73,0))))/2)),3))</f>
        <v>0</v>
      </c>
      <c r="Z30" s="16">
        <f t="array" ref="Z30">IF($S30=FALSE(),"",ROUND((1/I30)*4 + (INDEX('Team Ratings'!$T$2:$T$73,MATCH($G30,'Team Ratings'!$A$2:$A$73,0))/MAX('Team Ratings'!$T$2:$T$73))*4 + (1-(INDEX('Team Ratings'!$J$2:$J$73,MATCH($G30,'Team Ratings'!$A$2:$A$73,0))/MAX('Team Ratings'!$J$2:$J$73)))*2 + (INDEX('Team Ratings'!$N$2:$N$73,MATCH($G30,'Team Ratings'!$A$2:$A$73,0))/MAX('Team Ratings'!$N$2:$N$73)) + (INDEX('Team Ratings'!$M$2:$M$73,MATCH($G30,'Team Ratings'!$A$2:$A$73,0))/MAX('Team Ratings'!$M$2:$M$73)),2))</f>
        <v>2.89</v>
      </c>
      <c r="AA30" s="16">
        <f t="array" ref="AA30">IF($S30=FALSE(),"",IFERROR(INDEX('Team Ratings'!$Q$2:$Q$73,MATCH($G30,'Team Ratings'!$A$2:$A$73,0)),0))</f>
        <v>0</v>
      </c>
      <c r="AB30" s="16">
        <f t="array" ref="AB30">IF($S30=FALSE(),"",ROUND((0.75*INDEX('Team Ratings'!$G$2:$G$73,MATCH($H30,'Team Ratings'!$A$2:$A$73,0)))+(0.25*INDEX('Team Ratings'!$T$2:$T$73,MATCH($H30,'Team Ratings'!$A$2:$A$73,0))),3))</f>
        <v>25.2</v>
      </c>
      <c r="AC30" s="16">
        <f t="array" ref="AC30">IF($S30=FALSE(),"",ROUND(INDEX('Team Ratings'!$T$2:$T$73,MATCH($H30,'Team Ratings'!$A$2:$A$73,0))-INDEX('Team Ratings'!$G$2:$G$73,MATCH($H30,'Team Ratings'!$A$2:$A$73,0)),3))</f>
        <v>-3.2</v>
      </c>
      <c r="AD30" s="16">
        <f t="array" ref="AD30">IF($S30=FALSE(),"",ROUND(INDEX('Team Ratings'!$O$2:$O$73,MATCH($H30,'Team Ratings'!$A$2:$A$73,0))-INDEX('Team Ratings'!$P$2:$P$73,MATCH($G30,'Team Ratings'!$A$2:$A$73,0)),3))</f>
        <v>0.4</v>
      </c>
      <c r="AE30" s="16">
        <f t="array" ref="AE30">IF($S30=FALSE(),"",ROUND(INDEX('Team Ratings'!$K$2:$K$73,MATCH($H30,'Team Ratings'!$A$2:$A$73,0))-INDEX('Team Ratings'!$J$2:$J$73,MATCH($G30,'Team Ratings'!$A$2:$A$73,0)),3))</f>
        <v>1.8</v>
      </c>
      <c r="AF30" s="16">
        <f t="array" ref="AF30">IF($S30=FALSE(),"",ROUND(MAX(0,MIN(10,5+((INDEX('Team Ratings'!$L$2:$L$73,MATCH($H30,'Team Ratings'!$A$2:$A$73,0))-INDEX('Team Ratings'!$M$2:$M$73,MATCH($G30,'Team Ratings'!$A$2:$A$73,0)))+(INDEX('Team Ratings'!$M$2:$M$73,MATCH($H30,'Team Ratings'!$A$2:$A$73,0))-INDEX('Team Ratings'!$L$2:$L$73,MATCH($G30,'Team Ratings'!$A$2:$A$73,0))))/2)),3))</f>
        <v>10</v>
      </c>
      <c r="AG30" s="16">
        <f t="array" ref="AG30">IF($S30=FALSE(),"",ROUND((1/J30)*4 + (INDEX('Team Ratings'!$T$2:$T$73,MATCH($H30,'Team Ratings'!$A$2:$A$73,0))/MAX('Team Ratings'!$T$2:$T$73))*4 + (1-(INDEX('Team Ratings'!$J$2:$J$73,MATCH($H30,'Team Ratings'!$A$2:$A$73,0))/MAX('Team Ratings'!$J$2:$J$73)))*2 + (INDEX('Team Ratings'!$N$2:$N$73,MATCH($H30,'Team Ratings'!$A$2:$A$73,0))/MAX('Team Ratings'!$N$2:$N$73)) + (INDEX('Team Ratings'!$M$2:$M$73,MATCH($H30,'Team Ratings'!$A$2:$A$73,0))/MAX('Team Ratings'!$M$2:$M$73)),2))</f>
        <v>4.88</v>
      </c>
      <c r="AH30" s="16">
        <f t="array" ref="AH30">IF($S30=FALSE(),"",IFERROR(INDEX('Team Ratings'!$Q$2:$Q$73,MATCH($H30,'Team Ratings'!$A$2:$A$73,0)),0))</f>
        <v>0</v>
      </c>
      <c r="AI30" s="10" t="b">
        <f t="shared" si="6"/>
        <v>1</v>
      </c>
      <c r="AJ30" s="10"/>
      <c r="AK30" s="10" t="str">
        <f t="shared" si="7"/>
        <v>Tennessee</v>
      </c>
      <c r="AL30" s="10">
        <v>9</v>
      </c>
    </row>
    <row r="31" spans="1:38" ht="20" customHeight="1" x14ac:dyDescent="0.2">
      <c r="A31" s="14" t="s">
        <v>141</v>
      </c>
      <c r="B31" s="14" t="s">
        <v>201</v>
      </c>
      <c r="C31" s="5">
        <f>_xlfn.SWITCH(B31,
 "Round 1",1,
 "Round 2",2,
 "Sweet 16",3,
 "Elite 8",4,
 "Final Four",5,
 "Championship",6
)*100
+
COUNTIF($B$2:B31,B31)</f>
        <v>130</v>
      </c>
      <c r="D31" s="5" t="s">
        <v>79</v>
      </c>
      <c r="E31" s="5"/>
      <c r="F31" s="5"/>
      <c r="G31" s="5" t="s">
        <v>81</v>
      </c>
      <c r="H31" s="5" t="s">
        <v>94</v>
      </c>
      <c r="I31" s="15">
        <f t="array" ref="I31">IFERROR(INDEX('Team Ratings'!$B$2:$B$73,MATCH($G31,'Team Ratings'!$A$2:$A$73,0)),"")</f>
        <v>3</v>
      </c>
      <c r="J31" s="15">
        <f t="array" ref="J31">IFERROR(INDEX('Team Ratings'!$B$2:$B$73,MATCH($H31,'Team Ratings'!$A$2:$A$73,0)),"")</f>
        <v>14</v>
      </c>
      <c r="K31" s="12">
        <f>IF($S31=FALSE(),"",ROUND((0.35*IFERROR((U31-AVERAGE('Team Metrics'!$X$2:$X$65))/_xlfn.STDEV.P('Team Metrics'!$X$2:$X$65),0)) + (0.2*IFERROR((V31-AVERAGE('Team Metrics'!$W$2:$W$65))/_xlfn.STDEV.P('Team Metrics'!$W$2:$W$65),0)) + (0.15*IFERROR((W31-AVERAGE('Team Metrics'!$Y$2:$Y$65))/_xlfn.STDEV.P('Team Metrics'!$Y$2:$Y$65),0)) + (0.1*IFERROR((X31-AVERAGE('Team Metrics'!$Z$2:$Z$65))/_xlfn.STDEV.P('Team Metrics'!$Z$2:$Z$65),0)) + (0.1*IFERROR((Y31-AVERAGE('Team Metrics'!$AA$2:$AA$65))/_xlfn.STDEV.P('Team Metrics'!$AA$2:$AA$65),0)) + (0.05*IFERROR((Z31-AVERAGE('Team Metrics'!$AB$2:$AB$65))/_xlfn.STDEV.P('Team Metrics'!$AB$2:$AB$65),0)) + (0.05*IFERROR((AA31-AVERAGE('Team Metrics'!$S$2:$S$65))/IF(_xlfn.STDEV.P('Team Metrics'!$S$2:$S$65)=0,1,_xlfn.STDEV.P('Team Metrics'!$S$2:$S$65)),0)),4))</f>
        <v>0.42409999999999998</v>
      </c>
      <c r="L31" s="12">
        <f>IF($S31=FALSE(),"",ROUND((0.35*IFERROR((AB31-AVERAGE('Team Metrics'!$X$2:$X$65))/_xlfn.STDEV.P('Team Metrics'!$X$2:$X$65),0)) + (0.2*IFERROR((AC31-AVERAGE('Team Metrics'!$W$2:$W$65))/_xlfn.STDEV.P('Team Metrics'!$W$2:$W$65),0)) + (0.15*IFERROR((AD31-AVERAGE('Team Metrics'!$Y$2:$Y$65))/_xlfn.STDEV.P('Team Metrics'!$Y$2:$Y$65),0)) + (0.1*IFERROR((AE31-AVERAGE('Team Metrics'!$Z$2:$Z$65))/_xlfn.STDEV.P('Team Metrics'!$Z$2:$Z$65),0)) + (0.1*IFERROR((AF31-AVERAGE('Team Metrics'!$AA$2:$AA$65))/_xlfn.STDEV.P('Team Metrics'!$AA$2:$AA$65),0)) + (0.05*IFERROR((AG31-AVERAGE('Team Metrics'!$AB$2:$AB$65))/_xlfn.STDEV.P('Team Metrics'!$AB$2:$AB$65),0)) + (0.05*IFERROR((AH31-AVERAGE('Team Metrics'!$S$2:$S$65))/IF(_xlfn.STDEV.P('Team Metrics'!$S$2:$S$65)=0,1,_xlfn.STDEV.P('Team Metrics'!$S$2:$S$65)),0)),4))</f>
        <v>-0.36620000000000003</v>
      </c>
      <c r="M31" s="12">
        <f t="shared" si="0"/>
        <v>0.7903</v>
      </c>
      <c r="N31" s="10" t="str">
        <f t="shared" si="1"/>
        <v>Virginia</v>
      </c>
      <c r="O31" s="7">
        <f t="shared" si="2"/>
        <v>59.5</v>
      </c>
      <c r="P31" s="5" t="str">
        <f t="shared" si="3"/>
        <v/>
      </c>
      <c r="Q31" s="5" t="s">
        <v>142</v>
      </c>
      <c r="R31" s="5" t="s">
        <v>132</v>
      </c>
      <c r="S31" s="10" t="b">
        <f t="shared" si="4"/>
        <v>1</v>
      </c>
      <c r="T31" s="5" t="str">
        <f t="shared" si="5"/>
        <v>ΔComposite=0.79; AdjNET Δ=23.4; 3PT Δ=-2.9; TO Δ=-1.2; REB Δ=4.7</v>
      </c>
      <c r="U31" s="16">
        <f t="array" ref="U31">IF($S31=FALSE(),"",ROUND((0.75*INDEX('Team Ratings'!$G$2:$G$73,MATCH($G31,'Team Ratings'!$A$2:$A$73,0)))+(0.25*INDEX('Team Ratings'!$T$2:$T$73,MATCH($G31,'Team Ratings'!$A$2:$A$73,0))),3))</f>
        <v>27.55</v>
      </c>
      <c r="V31" s="16">
        <f t="array" ref="V31">IF($S31=FALSE(),"",ROUND(INDEX('Team Ratings'!$T$2:$T$73,MATCH($G31,'Team Ratings'!$A$2:$A$73,0))-INDEX('Team Ratings'!$G$2:$G$73,MATCH($G31,'Team Ratings'!$A$2:$A$73,0)),3))</f>
        <v>4.2</v>
      </c>
      <c r="W31" s="16">
        <f t="array" ref="W31">IF($S31=FALSE(),"",ROUND(INDEX('Team Ratings'!$O$2:$O$73,MATCH($G31,'Team Ratings'!$A$2:$A$73,0))-INDEX('Team Ratings'!$P$2:$P$73,MATCH($H31,'Team Ratings'!$A$2:$A$73,0)),3))</f>
        <v>2.2999999999999998</v>
      </c>
      <c r="X31" s="16">
        <f t="array" ref="X31">IF($S31=FALSE(),"",ROUND(INDEX('Team Ratings'!$K$2:$K$73,MATCH($G31,'Team Ratings'!$A$2:$A$73,0))-INDEX('Team Ratings'!$J$2:$J$73,MATCH($H31,'Team Ratings'!$A$2:$A$73,0)),3))</f>
        <v>-0.7</v>
      </c>
      <c r="Y31" s="16">
        <f t="array" ref="Y31">IF($S31=FALSE(),"",ROUND(MAX(0,MIN(10,5+((INDEX('Team Ratings'!$L$2:$L$73,MATCH($G31,'Team Ratings'!$A$2:$A$73,0))-INDEX('Team Ratings'!$M$2:$M$73,MATCH($H31,'Team Ratings'!$A$2:$A$73,0)))+(INDEX('Team Ratings'!$M$2:$M$73,MATCH($G31,'Team Ratings'!$A$2:$A$73,0))-INDEX('Team Ratings'!$L$2:$L$73,MATCH($H31,'Team Ratings'!$A$2:$A$73,0))))/2)),3))</f>
        <v>7.35</v>
      </c>
      <c r="Z31" s="16">
        <f t="array" ref="Z31">IF($S31=FALSE(),"",ROUND((1/I31)*4 + (INDEX('Team Ratings'!$T$2:$T$73,MATCH($G31,'Team Ratings'!$A$2:$A$73,0))/MAX('Team Ratings'!$T$2:$T$73))*4 + (1-(INDEX('Team Ratings'!$J$2:$J$73,MATCH($G31,'Team Ratings'!$A$2:$A$73,0))/MAX('Team Ratings'!$J$2:$J$73)))*2 + (INDEX('Team Ratings'!$N$2:$N$73,MATCH($G31,'Team Ratings'!$A$2:$A$73,0))/MAX('Team Ratings'!$N$2:$N$73)) + (INDEX('Team Ratings'!$M$2:$M$73,MATCH($G31,'Team Ratings'!$A$2:$A$73,0))/MAX('Team Ratings'!$M$2:$M$73)),2))</f>
        <v>6.37</v>
      </c>
      <c r="AA31" s="16">
        <f t="array" ref="AA31">IF($S31=FALSE(),"",IFERROR(INDEX('Team Ratings'!$Q$2:$Q$73,MATCH($G31,'Team Ratings'!$A$2:$A$73,0)),0))</f>
        <v>0</v>
      </c>
      <c r="AB31" s="16">
        <f t="array" ref="AB31">IF($S31=FALSE(),"",ROUND((0.75*INDEX('Team Ratings'!$G$2:$G$73,MATCH($H31,'Team Ratings'!$A$2:$A$73,0)))+(0.25*INDEX('Team Ratings'!$T$2:$T$73,MATCH($H31,'Team Ratings'!$A$2:$A$73,0))),3))</f>
        <v>4.2</v>
      </c>
      <c r="AC31" s="16">
        <f t="array" ref="AC31">IF($S31=FALSE(),"",ROUND(INDEX('Team Ratings'!$T$2:$T$73,MATCH($H31,'Team Ratings'!$A$2:$A$73,0))-INDEX('Team Ratings'!$G$2:$G$73,MATCH($H31,'Team Ratings'!$A$2:$A$73,0)),3))</f>
        <v>3.2</v>
      </c>
      <c r="AD31" s="16">
        <f t="array" ref="AD31">IF($S31=FALSE(),"",ROUND(INDEX('Team Ratings'!$O$2:$O$73,MATCH($H31,'Team Ratings'!$A$2:$A$73,0))-INDEX('Team Ratings'!$P$2:$P$73,MATCH($G31,'Team Ratings'!$A$2:$A$73,0)),3))</f>
        <v>5.2</v>
      </c>
      <c r="AE31" s="16">
        <f t="array" ref="AE31">IF($S31=FALSE(),"",ROUND(INDEX('Team Ratings'!$K$2:$K$73,MATCH($H31,'Team Ratings'!$A$2:$A$73,0))-INDEX('Team Ratings'!$J$2:$J$73,MATCH($G31,'Team Ratings'!$A$2:$A$73,0)),3))</f>
        <v>0.5</v>
      </c>
      <c r="AF31" s="16">
        <f t="array" ref="AF31">IF($S31=FALSE(),"",ROUND(MAX(0,MIN(10,5+((INDEX('Team Ratings'!$L$2:$L$73,MATCH($H31,'Team Ratings'!$A$2:$A$73,0))-INDEX('Team Ratings'!$M$2:$M$73,MATCH($G31,'Team Ratings'!$A$2:$A$73,0)))+(INDEX('Team Ratings'!$M$2:$M$73,MATCH($H31,'Team Ratings'!$A$2:$A$73,0))-INDEX('Team Ratings'!$L$2:$L$73,MATCH($G31,'Team Ratings'!$A$2:$A$73,0))))/2)),3))</f>
        <v>2.65</v>
      </c>
      <c r="AG31" s="16">
        <f t="array" ref="AG31">IF($S31=FALSE(),"",ROUND((1/J31)*4 + (INDEX('Team Ratings'!$T$2:$T$73,MATCH($H31,'Team Ratings'!$A$2:$A$73,0))/MAX('Team Ratings'!$T$2:$T$73))*4 + (1-(INDEX('Team Ratings'!$J$2:$J$73,MATCH($H31,'Team Ratings'!$A$2:$A$73,0))/MAX('Team Ratings'!$J$2:$J$73)))*2 + (INDEX('Team Ratings'!$N$2:$N$73,MATCH($H31,'Team Ratings'!$A$2:$A$73,0))/MAX('Team Ratings'!$N$2:$N$73)) + (INDEX('Team Ratings'!$M$2:$M$73,MATCH($H31,'Team Ratings'!$A$2:$A$73,0))/MAX('Team Ratings'!$M$2:$M$73)),2))</f>
        <v>2.96</v>
      </c>
      <c r="AH31" s="16">
        <f t="array" ref="AH31">IF($S31=FALSE(),"",IFERROR(INDEX('Team Ratings'!$Q$2:$Q$73,MATCH($H31,'Team Ratings'!$A$2:$A$73,0)),0))</f>
        <v>0</v>
      </c>
      <c r="AI31" s="10" t="b">
        <f t="shared" si="6"/>
        <v>1</v>
      </c>
      <c r="AJ31" s="10"/>
      <c r="AK31" s="10" t="str">
        <f t="shared" si="7"/>
        <v>Virginia</v>
      </c>
      <c r="AL31" s="10">
        <v>9</v>
      </c>
    </row>
    <row r="32" spans="1:38" ht="20" customHeight="1" x14ac:dyDescent="0.2">
      <c r="A32" s="14" t="s">
        <v>164</v>
      </c>
      <c r="B32" s="14" t="s">
        <v>201</v>
      </c>
      <c r="C32" s="5">
        <f>_xlfn.SWITCH(B32,
 "Round 1",1,
 "Round 2",2,
 "Sweet 16",3,
 "Elite 8",4,
 "Final Four",5,
 "Championship",6
)*100
+
COUNTIF($B$2:B32,B32)</f>
        <v>131</v>
      </c>
      <c r="D32" s="5" t="s">
        <v>79</v>
      </c>
      <c r="E32" s="5"/>
      <c r="F32" s="5"/>
      <c r="G32" s="5" t="s">
        <v>88</v>
      </c>
      <c r="H32" s="5" t="s">
        <v>85</v>
      </c>
      <c r="I32" s="15">
        <f t="array" ref="I32">IFERROR(INDEX('Team Ratings'!$B$2:$B$73,MATCH($G32,'Team Ratings'!$A$2:$A$73,0)),"")</f>
        <v>10</v>
      </c>
      <c r="J32" s="15">
        <f t="array" ref="J32">IFERROR(INDEX('Team Ratings'!$B$2:$B$73,MATCH($H32,'Team Ratings'!$A$2:$A$73,0)),"")</f>
        <v>7</v>
      </c>
      <c r="K32" s="12">
        <f>IF($S32=FALSE(),"",ROUND((0.35*IFERROR((U32-AVERAGE('Team Metrics'!$X$2:$X$65))/_xlfn.STDEV.P('Team Metrics'!$X$2:$X$65),0)) + (0.2*IFERROR((V32-AVERAGE('Team Metrics'!$W$2:$W$65))/_xlfn.STDEV.P('Team Metrics'!$W$2:$W$65),0)) + (0.15*IFERROR((W32-AVERAGE('Team Metrics'!$Y$2:$Y$65))/_xlfn.STDEV.P('Team Metrics'!$Y$2:$Y$65),0)) + (0.1*IFERROR((X32-AVERAGE('Team Metrics'!$Z$2:$Z$65))/_xlfn.STDEV.P('Team Metrics'!$Z$2:$Z$65),0)) + (0.1*IFERROR((Y32-AVERAGE('Team Metrics'!$AA$2:$AA$65))/_xlfn.STDEV.P('Team Metrics'!$AA$2:$AA$65),0)) + (0.05*IFERROR((Z32-AVERAGE('Team Metrics'!$AB$2:$AB$65))/_xlfn.STDEV.P('Team Metrics'!$AB$2:$AB$65),0)) + (0.05*IFERROR((AA32-AVERAGE('Team Metrics'!$S$2:$S$65))/IF(_xlfn.STDEV.P('Team Metrics'!$S$2:$S$65)=0,1,_xlfn.STDEV.P('Team Metrics'!$S$2:$S$65)),0)),4))</f>
        <v>0.503</v>
      </c>
      <c r="L32" s="12">
        <f>IF($S32=FALSE(),"",ROUND((0.35*IFERROR((AB32-AVERAGE('Team Metrics'!$X$2:$X$65))/_xlfn.STDEV.P('Team Metrics'!$X$2:$X$65),0)) + (0.2*IFERROR((AC32-AVERAGE('Team Metrics'!$W$2:$W$65))/_xlfn.STDEV.P('Team Metrics'!$W$2:$W$65),0)) + (0.15*IFERROR((AD32-AVERAGE('Team Metrics'!$Y$2:$Y$65))/_xlfn.STDEV.P('Team Metrics'!$Y$2:$Y$65),0)) + (0.1*IFERROR((AE32-AVERAGE('Team Metrics'!$Z$2:$Z$65))/_xlfn.STDEV.P('Team Metrics'!$Z$2:$Z$65),0)) + (0.1*IFERROR((AF32-AVERAGE('Team Metrics'!$AA$2:$AA$65))/_xlfn.STDEV.P('Team Metrics'!$AA$2:$AA$65),0)) + (0.05*IFERROR((AG32-AVERAGE('Team Metrics'!$AB$2:$AB$65))/_xlfn.STDEV.P('Team Metrics'!$AB$2:$AB$65),0)) + (0.05*IFERROR((AH32-AVERAGE('Team Metrics'!$S$2:$S$65))/IF(_xlfn.STDEV.P('Team Metrics'!$S$2:$S$65)=0,1,_xlfn.STDEV.P('Team Metrics'!$S$2:$S$65)),0)),4))</f>
        <v>-0.37330000000000002</v>
      </c>
      <c r="M32" s="12">
        <f t="shared" si="0"/>
        <v>0.87629999999999997</v>
      </c>
      <c r="N32" s="10" t="str">
        <f t="shared" si="1"/>
        <v>Santa Clara</v>
      </c>
      <c r="O32" s="7">
        <f t="shared" si="2"/>
        <v>60.5</v>
      </c>
      <c r="P32" s="5" t="str">
        <f t="shared" si="3"/>
        <v>UPSET</v>
      </c>
      <c r="Q32" s="5" t="s">
        <v>134</v>
      </c>
      <c r="R32" s="5" t="s">
        <v>123</v>
      </c>
      <c r="S32" s="10" t="b">
        <f t="shared" si="4"/>
        <v>1</v>
      </c>
      <c r="T32" s="5" t="str">
        <f t="shared" si="5"/>
        <v>ΔComposite=0.88; AdjNET Δ=3.4; 3PT Δ=2.2; TO Δ=4.9; REB Δ=5.1</v>
      </c>
      <c r="U32" s="16">
        <f t="array" ref="U32">IF($S32=FALSE(),"",ROUND((0.75*INDEX('Team Ratings'!$G$2:$G$73,MATCH($G32,'Team Ratings'!$A$2:$A$73,0)))+(0.25*INDEX('Team Ratings'!$T$2:$T$73,MATCH($G32,'Team Ratings'!$A$2:$A$73,0))),3))</f>
        <v>22.4</v>
      </c>
      <c r="V32" s="16">
        <f t="array" ref="V32">IF($S32=FALSE(),"",ROUND(INDEX('Team Ratings'!$T$2:$T$73,MATCH($G32,'Team Ratings'!$A$2:$A$73,0))-INDEX('Team Ratings'!$G$2:$G$73,MATCH($G32,'Team Ratings'!$A$2:$A$73,0)),3))</f>
        <v>4.8</v>
      </c>
      <c r="W32" s="16">
        <f t="array" ref="W32">IF($S32=FALSE(),"",ROUND(INDEX('Team Ratings'!$O$2:$O$73,MATCH($G32,'Team Ratings'!$A$2:$A$73,0))-INDEX('Team Ratings'!$P$2:$P$73,MATCH($H32,'Team Ratings'!$A$2:$A$73,0)),3))</f>
        <v>3.3</v>
      </c>
      <c r="X32" s="16">
        <f t="array" ref="X32">IF($S32=FALSE(),"",ROUND(INDEX('Team Ratings'!$K$2:$K$73,MATCH($G32,'Team Ratings'!$A$2:$A$73,0))-INDEX('Team Ratings'!$J$2:$J$73,MATCH($H32,'Team Ratings'!$A$2:$A$73,0)),3))</f>
        <v>5.0999999999999996</v>
      </c>
      <c r="Y32" s="16">
        <f t="array" ref="Y32">IF($S32=FALSE(),"",ROUND(MAX(0,MIN(10,5+((INDEX('Team Ratings'!$L$2:$L$73,MATCH($G32,'Team Ratings'!$A$2:$A$73,0))-INDEX('Team Ratings'!$M$2:$M$73,MATCH($H32,'Team Ratings'!$A$2:$A$73,0)))+(INDEX('Team Ratings'!$M$2:$M$73,MATCH($G32,'Team Ratings'!$A$2:$A$73,0))-INDEX('Team Ratings'!$L$2:$L$73,MATCH($H32,'Team Ratings'!$A$2:$A$73,0))))/2)),3))</f>
        <v>7.55</v>
      </c>
      <c r="Z32" s="16">
        <f t="array" ref="Z32">IF($S32=FALSE(),"",ROUND((1/I32)*4 + (INDEX('Team Ratings'!$T$2:$T$73,MATCH($G32,'Team Ratings'!$A$2:$A$73,0))/MAX('Team Ratings'!$T$2:$T$73))*4 + (1-(INDEX('Team Ratings'!$J$2:$J$73,MATCH($G32,'Team Ratings'!$A$2:$A$73,0))/MAX('Team Ratings'!$J$2:$J$73)))*2 + (INDEX('Team Ratings'!$N$2:$N$73,MATCH($G32,'Team Ratings'!$A$2:$A$73,0))/MAX('Team Ratings'!$N$2:$N$73)) + (INDEX('Team Ratings'!$M$2:$M$73,MATCH($G32,'Team Ratings'!$A$2:$A$73,0))/MAX('Team Ratings'!$M$2:$M$73)),2))</f>
        <v>4.93</v>
      </c>
      <c r="AA32" s="16">
        <f t="array" ref="AA32">IF($S32=FALSE(),"",IFERROR(INDEX('Team Ratings'!$Q$2:$Q$73,MATCH($G32,'Team Ratings'!$A$2:$A$73,0)),0))</f>
        <v>0</v>
      </c>
      <c r="AB32" s="16">
        <f t="array" ref="AB32">IF($S32=FALSE(),"",ROUND((0.75*INDEX('Team Ratings'!$G$2:$G$73,MATCH($H32,'Team Ratings'!$A$2:$A$73,0)))+(0.25*INDEX('Team Ratings'!$T$2:$T$73,MATCH($H32,'Team Ratings'!$A$2:$A$73,0))),3))</f>
        <v>19.024999999999999</v>
      </c>
      <c r="AC32" s="16">
        <f t="array" ref="AC32">IF($S32=FALSE(),"",ROUND(INDEX('Team Ratings'!$T$2:$T$73,MATCH($H32,'Team Ratings'!$A$2:$A$73,0))-INDEX('Team Ratings'!$G$2:$G$73,MATCH($H32,'Team Ratings'!$A$2:$A$73,0)),3))</f>
        <v>-3.5</v>
      </c>
      <c r="AD32" s="16">
        <f t="array" ref="AD32">IF($S32=FALSE(),"",ROUND(INDEX('Team Ratings'!$O$2:$O$73,MATCH($H32,'Team Ratings'!$A$2:$A$73,0))-INDEX('Team Ratings'!$P$2:$P$73,MATCH($G32,'Team Ratings'!$A$2:$A$73,0)),3))</f>
        <v>1.1000000000000001</v>
      </c>
      <c r="AE32" s="16">
        <f t="array" ref="AE32">IF($S32=FALSE(),"",ROUND(INDEX('Team Ratings'!$K$2:$K$73,MATCH($H32,'Team Ratings'!$A$2:$A$73,0))-INDEX('Team Ratings'!$J$2:$J$73,MATCH($G32,'Team Ratings'!$A$2:$A$73,0)),3))</f>
        <v>0.2</v>
      </c>
      <c r="AF32" s="16">
        <f t="array" ref="AF32">IF($S32=FALSE(),"",ROUND(MAX(0,MIN(10,5+((INDEX('Team Ratings'!$L$2:$L$73,MATCH($H32,'Team Ratings'!$A$2:$A$73,0))-INDEX('Team Ratings'!$M$2:$M$73,MATCH($G32,'Team Ratings'!$A$2:$A$73,0)))+(INDEX('Team Ratings'!$M$2:$M$73,MATCH($H32,'Team Ratings'!$A$2:$A$73,0))-INDEX('Team Ratings'!$L$2:$L$73,MATCH($G32,'Team Ratings'!$A$2:$A$73,0))))/2)),3))</f>
        <v>2.4500000000000002</v>
      </c>
      <c r="AG32" s="16">
        <f t="array" ref="AG32">IF($S32=FALSE(),"",ROUND((1/J32)*4 + (INDEX('Team Ratings'!$T$2:$T$73,MATCH($H32,'Team Ratings'!$A$2:$A$73,0))/MAX('Team Ratings'!$T$2:$T$73))*4 + (1-(INDEX('Team Ratings'!$J$2:$J$73,MATCH($H32,'Team Ratings'!$A$2:$A$73,0))/MAX('Team Ratings'!$J$2:$J$73)))*2 + (INDEX('Team Ratings'!$N$2:$N$73,MATCH($H32,'Team Ratings'!$A$2:$A$73,0))/MAX('Team Ratings'!$N$2:$N$73)) + (INDEX('Team Ratings'!$M$2:$M$73,MATCH($H32,'Team Ratings'!$A$2:$A$73,0))/MAX('Team Ratings'!$M$2:$M$73)),2))</f>
        <v>4.38</v>
      </c>
      <c r="AH32" s="16">
        <f t="array" ref="AH32">IF($S32=FALSE(),"",IFERROR(INDEX('Team Ratings'!$Q$2:$Q$73,MATCH($H32,'Team Ratings'!$A$2:$A$73,0)),0))</f>
        <v>-1</v>
      </c>
      <c r="AI32" s="10" t="b">
        <f t="shared" si="6"/>
        <v>1</v>
      </c>
      <c r="AJ32" s="10"/>
      <c r="AK32" s="10" t="str">
        <f t="shared" si="7"/>
        <v>Santa Clara</v>
      </c>
      <c r="AL32" s="10">
        <v>9</v>
      </c>
    </row>
    <row r="33" spans="1:38" ht="20" customHeight="1" x14ac:dyDescent="0.2">
      <c r="A33" s="14" t="s">
        <v>133</v>
      </c>
      <c r="B33" s="14" t="s">
        <v>201</v>
      </c>
      <c r="C33" s="5">
        <f>_xlfn.SWITCH(B33,
 "Round 1",1,
 "Round 2",2,
 "Sweet 16",3,
 "Elite 8",4,
 "Final Four",5,
 "Championship",6
)*100
+
COUNTIF($B$2:B33,B33)</f>
        <v>132</v>
      </c>
      <c r="D33" s="5" t="s">
        <v>79</v>
      </c>
      <c r="E33" s="5"/>
      <c r="F33" s="5"/>
      <c r="G33" s="5" t="s">
        <v>80</v>
      </c>
      <c r="H33" s="5" t="s">
        <v>95</v>
      </c>
      <c r="I33" s="15">
        <f t="array" ref="I33">IFERROR(INDEX('Team Ratings'!$B$2:$B$73,MATCH($G33,'Team Ratings'!$A$2:$A$73,0)),"")</f>
        <v>2</v>
      </c>
      <c r="J33" s="15">
        <f t="array" ref="J33">IFERROR(INDEX('Team Ratings'!$B$2:$B$73,MATCH($H33,'Team Ratings'!$A$2:$A$73,0)),"")</f>
        <v>15</v>
      </c>
      <c r="K33" s="12">
        <f>IF($S33=FALSE(),"",ROUND((0.35*IFERROR((U33-AVERAGE('Team Metrics'!$X$2:$X$65))/_xlfn.STDEV.P('Team Metrics'!$X$2:$X$65),0)) + (0.2*IFERROR((V33-AVERAGE('Team Metrics'!$W$2:$W$65))/_xlfn.STDEV.P('Team Metrics'!$W$2:$W$65),0)) + (0.15*IFERROR((W33-AVERAGE('Team Metrics'!$Y$2:$Y$65))/_xlfn.STDEV.P('Team Metrics'!$Y$2:$Y$65),0)) + (0.1*IFERROR((X33-AVERAGE('Team Metrics'!$Z$2:$Z$65))/_xlfn.STDEV.P('Team Metrics'!$Z$2:$Z$65),0)) + (0.1*IFERROR((Y33-AVERAGE('Team Metrics'!$AA$2:$AA$65))/_xlfn.STDEV.P('Team Metrics'!$AA$2:$AA$65),0)) + (0.05*IFERROR((Z33-AVERAGE('Team Metrics'!$AB$2:$AB$65))/_xlfn.STDEV.P('Team Metrics'!$AB$2:$AB$65),0)) + (0.05*IFERROR((AA33-AVERAGE('Team Metrics'!$S$2:$S$65))/IF(_xlfn.STDEV.P('Team Metrics'!$S$2:$S$65)=0,1,_xlfn.STDEV.P('Team Metrics'!$S$2:$S$65)),0)),4))</f>
        <v>1.0368999999999999</v>
      </c>
      <c r="L33" s="12">
        <f>IF($S33=FALSE(),"",ROUND((0.35*IFERROR((AB33-AVERAGE('Team Metrics'!$X$2:$X$65))/_xlfn.STDEV.P('Team Metrics'!$X$2:$X$65),0)) + (0.2*IFERROR((AC33-AVERAGE('Team Metrics'!$W$2:$W$65))/_xlfn.STDEV.P('Team Metrics'!$W$2:$W$65),0)) + (0.15*IFERROR((AD33-AVERAGE('Team Metrics'!$Y$2:$Y$65))/_xlfn.STDEV.P('Team Metrics'!$Y$2:$Y$65),0)) + (0.1*IFERROR((AE33-AVERAGE('Team Metrics'!$Z$2:$Z$65))/_xlfn.STDEV.P('Team Metrics'!$Z$2:$Z$65),0)) + (0.1*IFERROR((AF33-AVERAGE('Team Metrics'!$AA$2:$AA$65))/_xlfn.STDEV.P('Team Metrics'!$AA$2:$AA$65),0)) + (0.05*IFERROR((AG33-AVERAGE('Team Metrics'!$AB$2:$AB$65))/_xlfn.STDEV.P('Team Metrics'!$AB$2:$AB$65),0)) + (0.05*IFERROR((AH33-AVERAGE('Team Metrics'!$S$2:$S$65))/IF(_xlfn.STDEV.P('Team Metrics'!$S$2:$S$65)=0,1,_xlfn.STDEV.P('Team Metrics'!$S$2:$S$65)),0)),4))</f>
        <v>0.1061</v>
      </c>
      <c r="M33" s="12">
        <f t="shared" si="0"/>
        <v>0.93079999999999996</v>
      </c>
      <c r="N33" s="10" t="str">
        <f t="shared" si="1"/>
        <v>Iowa St.</v>
      </c>
      <c r="O33" s="7">
        <f t="shared" si="2"/>
        <v>61.2</v>
      </c>
      <c r="P33" s="5" t="str">
        <f t="shared" si="3"/>
        <v/>
      </c>
      <c r="Q33" s="5" t="s">
        <v>134</v>
      </c>
      <c r="R33" s="5" t="s">
        <v>132</v>
      </c>
      <c r="S33" s="10" t="b">
        <f t="shared" si="4"/>
        <v>1</v>
      </c>
      <c r="T33" s="5" t="str">
        <f t="shared" si="5"/>
        <v>ΔComposite=0.93; AdjNET Δ=31.4; 3PT Δ=3.6; TO Δ=1; REB Δ=-1.4</v>
      </c>
      <c r="U33" s="16">
        <f t="array" ref="U33">IF($S33=FALSE(),"",ROUND((0.75*INDEX('Team Ratings'!$G$2:$G$73,MATCH($G33,'Team Ratings'!$A$2:$A$73,0)))+(0.25*INDEX('Team Ratings'!$T$2:$T$73,MATCH($G33,'Team Ratings'!$A$2:$A$73,0))),3))</f>
        <v>33.225000000000001</v>
      </c>
      <c r="V33" s="16">
        <f t="array" ref="V33">IF($S33=FALSE(),"",ROUND(INDEX('Team Ratings'!$T$2:$T$73,MATCH($G33,'Team Ratings'!$A$2:$A$73,0))-INDEX('Team Ratings'!$G$2:$G$73,MATCH($G33,'Team Ratings'!$A$2:$A$73,0)),3))</f>
        <v>8.1</v>
      </c>
      <c r="W33" s="16">
        <f t="array" ref="W33">IF($S33=FALSE(),"",ROUND(INDEX('Team Ratings'!$O$2:$O$73,MATCH($G33,'Team Ratings'!$A$2:$A$73,0))-INDEX('Team Ratings'!$P$2:$P$73,MATCH($H33,'Team Ratings'!$A$2:$A$73,0)),3))</f>
        <v>5.2</v>
      </c>
      <c r="X33" s="16">
        <f t="array" ref="X33">IF($S33=FALSE(),"",ROUND(INDEX('Team Ratings'!$K$2:$K$73,MATCH($G33,'Team Ratings'!$A$2:$A$73,0))-INDEX('Team Ratings'!$J$2:$J$73,MATCH($H33,'Team Ratings'!$A$2:$A$73,0)),3))</f>
        <v>5.9</v>
      </c>
      <c r="Y33" s="16">
        <f t="array" ref="Y33">IF($S33=FALSE(),"",ROUND(MAX(0,MIN(10,5+((INDEX('Team Ratings'!$L$2:$L$73,MATCH($G33,'Team Ratings'!$A$2:$A$73,0))-INDEX('Team Ratings'!$M$2:$M$73,MATCH($H33,'Team Ratings'!$A$2:$A$73,0)))+(INDEX('Team Ratings'!$M$2:$M$73,MATCH($G33,'Team Ratings'!$A$2:$A$73,0))-INDEX('Team Ratings'!$L$2:$L$73,MATCH($H33,'Team Ratings'!$A$2:$A$73,0))))/2)),3))</f>
        <v>4.3</v>
      </c>
      <c r="Z33" s="16">
        <f t="array" ref="Z33">IF($S33=FALSE(),"",ROUND((1/I33)*4 + (INDEX('Team Ratings'!$T$2:$T$73,MATCH($G33,'Team Ratings'!$A$2:$A$73,0))/MAX('Team Ratings'!$T$2:$T$73))*4 + (1-(INDEX('Team Ratings'!$J$2:$J$73,MATCH($G33,'Team Ratings'!$A$2:$A$73,0))/MAX('Team Ratings'!$J$2:$J$73)))*2 + (INDEX('Team Ratings'!$N$2:$N$73,MATCH($G33,'Team Ratings'!$A$2:$A$73,0))/MAX('Team Ratings'!$N$2:$N$73)) + (INDEX('Team Ratings'!$M$2:$M$73,MATCH($G33,'Team Ratings'!$A$2:$A$73,0))/MAX('Team Ratings'!$M$2:$M$73)),2))</f>
        <v>7.98</v>
      </c>
      <c r="AA33" s="16">
        <f t="array" ref="AA33">IF($S33=FALSE(),"",IFERROR(INDEX('Team Ratings'!$Q$2:$Q$73,MATCH($G33,'Team Ratings'!$A$2:$A$73,0)),0))</f>
        <v>0</v>
      </c>
      <c r="AB33" s="16">
        <f t="array" ref="AB33">IF($S33=FALSE(),"",ROUND((0.75*INDEX('Team Ratings'!$G$2:$G$73,MATCH($H33,'Team Ratings'!$A$2:$A$73,0)))+(0.25*INDEX('Team Ratings'!$T$2:$T$73,MATCH($H33,'Team Ratings'!$A$2:$A$73,0))),3))</f>
        <v>1.875</v>
      </c>
      <c r="AC33" s="16">
        <f t="array" ref="AC33">IF($S33=FALSE(),"",ROUND(INDEX('Team Ratings'!$T$2:$T$73,MATCH($H33,'Team Ratings'!$A$2:$A$73,0))-INDEX('Team Ratings'!$G$2:$G$73,MATCH($H33,'Team Ratings'!$A$2:$A$73,0)),3))</f>
        <v>23.9</v>
      </c>
      <c r="AD33" s="16">
        <f t="array" ref="AD33">IF($S33=FALSE(),"",ROUND(INDEX('Team Ratings'!$O$2:$O$73,MATCH($H33,'Team Ratings'!$A$2:$A$73,0))-INDEX('Team Ratings'!$P$2:$P$73,MATCH($G33,'Team Ratings'!$A$2:$A$73,0)),3))</f>
        <v>1.6</v>
      </c>
      <c r="AE33" s="16">
        <f t="array" ref="AE33">IF($S33=FALSE(),"",ROUND(INDEX('Team Ratings'!$K$2:$K$73,MATCH($H33,'Team Ratings'!$A$2:$A$73,0))-INDEX('Team Ratings'!$J$2:$J$73,MATCH($G33,'Team Ratings'!$A$2:$A$73,0)),3))</f>
        <v>4.9000000000000004</v>
      </c>
      <c r="AF33" s="16">
        <f t="array" ref="AF33">IF($S33=FALSE(),"",ROUND(MAX(0,MIN(10,5+((INDEX('Team Ratings'!$L$2:$L$73,MATCH($H33,'Team Ratings'!$A$2:$A$73,0))-INDEX('Team Ratings'!$M$2:$M$73,MATCH($G33,'Team Ratings'!$A$2:$A$73,0)))+(INDEX('Team Ratings'!$M$2:$M$73,MATCH($H33,'Team Ratings'!$A$2:$A$73,0))-INDEX('Team Ratings'!$L$2:$L$73,MATCH($G33,'Team Ratings'!$A$2:$A$73,0))))/2)),3))</f>
        <v>5.7</v>
      </c>
      <c r="AG33" s="16">
        <f t="array" ref="AG33">IF($S33=FALSE(),"",ROUND((1/J33)*4 + (INDEX('Team Ratings'!$T$2:$T$73,MATCH($H33,'Team Ratings'!$A$2:$A$73,0))/MAX('Team Ratings'!$T$2:$T$73))*4 + (1-(INDEX('Team Ratings'!$J$2:$J$73,MATCH($H33,'Team Ratings'!$A$2:$A$73,0))/MAX('Team Ratings'!$J$2:$J$73)))*2 + (INDEX('Team Ratings'!$N$2:$N$73,MATCH($H33,'Team Ratings'!$A$2:$A$73,0))/MAX('Team Ratings'!$N$2:$N$73)) + (INDEX('Team Ratings'!$M$2:$M$73,MATCH($H33,'Team Ratings'!$A$2:$A$73,0))/MAX('Team Ratings'!$M$2:$M$73)),2))</f>
        <v>4.18</v>
      </c>
      <c r="AH33" s="16">
        <f t="array" ref="AH33">IF($S33=FALSE(),"",IFERROR(INDEX('Team Ratings'!$Q$2:$Q$73,MATCH($H33,'Team Ratings'!$A$2:$A$73,0)),0))</f>
        <v>0</v>
      </c>
      <c r="AI33" s="10" t="b">
        <f t="shared" si="6"/>
        <v>1</v>
      </c>
      <c r="AJ33" s="10"/>
      <c r="AK33" s="10" t="str">
        <f t="shared" si="7"/>
        <v>Iowa St.</v>
      </c>
      <c r="AL33" s="10">
        <v>9</v>
      </c>
    </row>
    <row r="34" spans="1:38" ht="20" customHeight="1" x14ac:dyDescent="0.2">
      <c r="A34" s="14" t="s">
        <v>122</v>
      </c>
      <c r="B34" s="14" t="s">
        <v>202</v>
      </c>
      <c r="C34" s="5">
        <f>_xlfn.SWITCH(B34,
 "Round 1",1,
 "Round 2",2,
 "Sweet 16",3,
 "Elite 8",4,
 "Final Four",5,
 "Championship",6
)*100
+
COUNTIF($B$2:B34,B34)</f>
        <v>201</v>
      </c>
      <c r="D34" s="5" t="s">
        <v>22</v>
      </c>
      <c r="E34" s="5" t="s">
        <v>121</v>
      </c>
      <c r="F34" s="5" t="s">
        <v>167</v>
      </c>
      <c r="G34" s="5" t="s">
        <v>21</v>
      </c>
      <c r="H34" s="5" t="s">
        <v>30</v>
      </c>
      <c r="I34" s="15">
        <f t="array" ref="I34">IFERROR(INDEX('Team Ratings'!$B$2:$B$73,MATCH($G34,'Team Ratings'!$A$2:$A$73,0)),"")</f>
        <v>1</v>
      </c>
      <c r="J34" s="15">
        <f t="array" ref="J34">IFERROR(INDEX('Team Ratings'!$B$2:$B$73,MATCH($H34,'Team Ratings'!$A$2:$A$73,0)),"")</f>
        <v>8</v>
      </c>
      <c r="K34" s="12">
        <f>IF($S34=FALSE(),"",ROUND((0.35*IFERROR((U34-AVERAGE('Team Metrics'!$X$2:$X$65))/_xlfn.STDEV.P('Team Metrics'!$X$2:$X$65),0)) + (0.2*IFERROR((V34-AVERAGE('Team Metrics'!$W$2:$W$65))/_xlfn.STDEV.P('Team Metrics'!$W$2:$W$65),0)) + (0.15*IFERROR((W34-AVERAGE('Team Metrics'!$Y$2:$Y$65))/_xlfn.STDEV.P('Team Metrics'!$Y$2:$Y$65),0)) + (0.1*IFERROR((X34-AVERAGE('Team Metrics'!$Z$2:$Z$65))/_xlfn.STDEV.P('Team Metrics'!$Z$2:$Z$65),0)) + (0.1*IFERROR((Y34-AVERAGE('Team Metrics'!$AA$2:$AA$65))/_xlfn.STDEV.P('Team Metrics'!$AA$2:$AA$65),0)) + (0.05*IFERROR((Z34-AVERAGE('Team Metrics'!$AB$2:$AB$65))/_xlfn.STDEV.P('Team Metrics'!$AB$2:$AB$65),0)) + (0.05*IFERROR((AA34-AVERAGE('Team Metrics'!$S$2:$S$65))/IF(_xlfn.STDEV.P('Team Metrics'!$S$2:$S$65)=0,1,_xlfn.STDEV.P('Team Metrics'!$S$2:$S$65)),0)),4))</f>
        <v>0.69750000000000001</v>
      </c>
      <c r="L34" s="12">
        <f>IF($S34=FALSE(),"",ROUND((0.35*IFERROR((AB34-AVERAGE('Team Metrics'!$X$2:$X$65))/_xlfn.STDEV.P('Team Metrics'!$X$2:$X$65),0)) + (0.2*IFERROR((AC34-AVERAGE('Team Metrics'!$W$2:$W$65))/_xlfn.STDEV.P('Team Metrics'!$W$2:$W$65),0)) + (0.15*IFERROR((AD34-AVERAGE('Team Metrics'!$Y$2:$Y$65))/_xlfn.STDEV.P('Team Metrics'!$Y$2:$Y$65),0)) + (0.1*IFERROR((AE34-AVERAGE('Team Metrics'!$Z$2:$Z$65))/_xlfn.STDEV.P('Team Metrics'!$Z$2:$Z$65),0)) + (0.1*IFERROR((AF34-AVERAGE('Team Metrics'!$AA$2:$AA$65))/_xlfn.STDEV.P('Team Metrics'!$AA$2:$AA$65),0)) + (0.05*IFERROR((AG34-AVERAGE('Team Metrics'!$AB$2:$AB$65))/_xlfn.STDEV.P('Team Metrics'!$AB$2:$AB$65),0)) + (0.05*IFERROR((AH34-AVERAGE('Team Metrics'!$S$2:$S$65))/IF(_xlfn.STDEV.P('Team Metrics'!$S$2:$S$65)=0,1,_xlfn.STDEV.P('Team Metrics'!$S$2:$S$65)),0)),4))</f>
        <v>0.78600000000000003</v>
      </c>
      <c r="M34" s="12">
        <f t="shared" ref="M34:M65" si="8">IF($S34=FALSE(),"",ROUND(K34-L34,4))</f>
        <v>-8.8499999999999995E-2</v>
      </c>
      <c r="N34" s="10" t="str">
        <f t="shared" ref="N34:N65" si="9">IF($S34=FALSE(),"",IF(M34&gt;=0,G34,H34))</f>
        <v>Ohio St.</v>
      </c>
      <c r="O34" s="7">
        <f t="shared" ref="O34:O64" si="10">IF($S34=FALSE(),"",ROUND(MIN(95,50+(ABS(M34)*12)),1))</f>
        <v>51.1</v>
      </c>
      <c r="P34" s="5" t="str">
        <f t="shared" ref="P34:P64" si="11">IF($S34=FALSE(),"",IF(N34="", "", IF(AND(N34=G34,I34&gt;J34),"UPSET",IF(AND(N34=H34,J34&gt;I34),"UPSET",""))))</f>
        <v>UPSET</v>
      </c>
      <c r="Q34" s="5" t="s">
        <v>203</v>
      </c>
      <c r="R34" s="5" t="s">
        <v>123</v>
      </c>
      <c r="S34" s="10" t="b">
        <f t="shared" ref="S34:S64" si="12">AND($G34&lt;&gt;"",$H34&lt;&gt;"")</f>
        <v>1</v>
      </c>
      <c r="T34" s="5" t="str">
        <f t="shared" ref="T34:T65" si="13">IF($S34=FALSE(),"","ΔComposite="&amp;ROUND(ABS(M34),2)&amp;"; AdjNET Δ="&amp;ROUND(U34-AB34,1)&amp;"; 3PT Δ="&amp;ROUND(W34-AD34,1)&amp;"; TO Δ="&amp;ROUND(X34-AE34,1)&amp;"; REB Δ="&amp;ROUND(Y34-AF34,1))</f>
        <v>ΔComposite=0.09; AdjNET Δ=10.3; 3PT Δ=-2.1; TO Δ=2.6; REB Δ=2.1</v>
      </c>
      <c r="U34" s="16">
        <f t="array" ref="U34">IF($S34=FALSE(),"",ROUND((0.75*INDEX('Team Ratings'!$G$2:$G$73,MATCH($G34,'Team Ratings'!$A$2:$A$73,0)))+(0.25*INDEX('Team Ratings'!$T$2:$T$73,MATCH($G34,'Team Ratings'!$A$2:$A$73,0))),3))</f>
        <v>37.575000000000003</v>
      </c>
      <c r="V34" s="16">
        <f t="array" ref="V34">IF($S34=FALSE(),"",ROUND(INDEX('Team Ratings'!$T$2:$T$73,MATCH($G34,'Team Ratings'!$A$2:$A$73,0))-INDEX('Team Ratings'!$G$2:$G$73,MATCH($G34,'Team Ratings'!$A$2:$A$73,0)),3))</f>
        <v>0.7</v>
      </c>
      <c r="W34" s="16">
        <f t="array" ref="W34">IF($S34=FALSE(),"",ROUND(INDEX('Team Ratings'!$O$2:$O$73,MATCH($G34,'Team Ratings'!$A$2:$A$73,0))-INDEX('Team Ratings'!$P$2:$P$73,MATCH($H34,'Team Ratings'!$A$2:$A$73,0)),3))</f>
        <v>3.5</v>
      </c>
      <c r="X34" s="16">
        <f t="array" ref="X34">IF($S34=FALSE(),"",ROUND(INDEX('Team Ratings'!$K$2:$K$73,MATCH($G34,'Team Ratings'!$A$2:$A$73,0))-INDEX('Team Ratings'!$J$2:$J$73,MATCH($H34,'Team Ratings'!$A$2:$A$73,0)),3))</f>
        <v>2.7</v>
      </c>
      <c r="Y34" s="16">
        <f t="array" ref="Y34">IF($S34=FALSE(),"",ROUND(MAX(0,MIN(10,5+((INDEX('Team Ratings'!$L$2:$L$73,MATCH($G34,'Team Ratings'!$A$2:$A$73,0))-INDEX('Team Ratings'!$M$2:$M$73,MATCH($H34,'Team Ratings'!$A$2:$A$73,0)))+(INDEX('Team Ratings'!$M$2:$M$73,MATCH($G34,'Team Ratings'!$A$2:$A$73,0))-INDEX('Team Ratings'!$L$2:$L$73,MATCH($H34,'Team Ratings'!$A$2:$A$73,0))))/2)),3))</f>
        <v>6.05</v>
      </c>
      <c r="Z34" s="16">
        <f t="array" ref="Z34">IF($S34=FALSE(),"",ROUND((1/I34)*4 + (INDEX('Team Ratings'!$T$2:$T$73,MATCH($G34,'Team Ratings'!$A$2:$A$73,0))/MAX('Team Ratings'!$T$2:$T$73))*4 + (1-(INDEX('Team Ratings'!$J$2:$J$73,MATCH($G34,'Team Ratings'!$A$2:$A$73,0))/MAX('Team Ratings'!$J$2:$J$73)))*2 + (INDEX('Team Ratings'!$N$2:$N$73,MATCH($G34,'Team Ratings'!$A$2:$A$73,0))/MAX('Team Ratings'!$N$2:$N$73)) + (INDEX('Team Ratings'!$M$2:$M$73,MATCH($G34,'Team Ratings'!$A$2:$A$73,0))/MAX('Team Ratings'!$M$2:$M$73)),2))</f>
        <v>9.7899999999999991</v>
      </c>
      <c r="AA34" s="16">
        <f t="array" ref="AA34">IF($S34=FALSE(),"",IFERROR(INDEX('Team Ratings'!$Q$2:$Q$73,MATCH($G34,'Team Ratings'!$A$2:$A$73,0)),0))</f>
        <v>-2.5</v>
      </c>
      <c r="AB34" s="16">
        <f t="array" ref="AB34">IF($S34=FALSE(),"",ROUND((0.75*INDEX('Team Ratings'!$G$2:$G$73,MATCH($H34,'Team Ratings'!$A$2:$A$73,0)))+(0.25*INDEX('Team Ratings'!$T$2:$T$73,MATCH($H34,'Team Ratings'!$A$2:$A$73,0))),3))</f>
        <v>27.3</v>
      </c>
      <c r="AC34" s="16">
        <f t="array" ref="AC34">IF($S34=FALSE(),"",ROUND(INDEX('Team Ratings'!$T$2:$T$73,MATCH($H34,'Team Ratings'!$A$2:$A$73,0))-INDEX('Team Ratings'!$G$2:$G$73,MATCH($H34,'Team Ratings'!$A$2:$A$73,0)),3))</f>
        <v>14.8</v>
      </c>
      <c r="AD34" s="16">
        <f t="array" ref="AD34">IF($S34=FALSE(),"",ROUND(INDEX('Team Ratings'!$O$2:$O$73,MATCH($H34,'Team Ratings'!$A$2:$A$73,0))-INDEX('Team Ratings'!$P$2:$P$73,MATCH($G34,'Team Ratings'!$A$2:$A$73,0)),3))</f>
        <v>5.6</v>
      </c>
      <c r="AE34" s="16">
        <f t="array" ref="AE34">IF($S34=FALSE(),"",ROUND(INDEX('Team Ratings'!$K$2:$K$73,MATCH($H34,'Team Ratings'!$A$2:$A$73,0))-INDEX('Team Ratings'!$J$2:$J$73,MATCH($G34,'Team Ratings'!$A$2:$A$73,0)),3))</f>
        <v>0.1</v>
      </c>
      <c r="AF34" s="16">
        <f t="array" ref="AF34">IF($S34=FALSE(),"",ROUND(MAX(0,MIN(10,5+((INDEX('Team Ratings'!$L$2:$L$73,MATCH($H34,'Team Ratings'!$A$2:$A$73,0))-INDEX('Team Ratings'!$M$2:$M$73,MATCH($G34,'Team Ratings'!$A$2:$A$73,0)))+(INDEX('Team Ratings'!$M$2:$M$73,MATCH($H34,'Team Ratings'!$A$2:$A$73,0))-INDEX('Team Ratings'!$L$2:$L$73,MATCH($G34,'Team Ratings'!$A$2:$A$73,0))))/2)),3))</f>
        <v>3.95</v>
      </c>
      <c r="AG34" s="16">
        <f t="array" ref="AG34">IF($S34=FALSE(),"",ROUND((1/J34)*4 + (INDEX('Team Ratings'!$T$2:$T$73,MATCH($H34,'Team Ratings'!$A$2:$A$73,0))/MAX('Team Ratings'!$T$2:$T$73))*4 + (1-(INDEX('Team Ratings'!$J$2:$J$73,MATCH($H34,'Team Ratings'!$A$2:$A$73,0))/MAX('Team Ratings'!$J$2:$J$73)))*2 + (INDEX('Team Ratings'!$N$2:$N$73,MATCH($H34,'Team Ratings'!$A$2:$A$73,0))/MAX('Team Ratings'!$N$2:$N$73)) + (INDEX('Team Ratings'!$M$2:$M$73,MATCH($H34,'Team Ratings'!$A$2:$A$73,0))/MAX('Team Ratings'!$M$2:$M$73)),2))</f>
        <v>6.5</v>
      </c>
      <c r="AH34" s="16">
        <f t="array" ref="AH34">IF($S34=FALSE(),"",IFERROR(INDEX('Team Ratings'!$Q$2:$Q$73,MATCH($H34,'Team Ratings'!$A$2:$A$73,0)),0))</f>
        <v>0</v>
      </c>
      <c r="AI34" s="10" t="b">
        <f t="shared" ref="AI34:AI64" si="14">AND(G34&lt;&gt;"",H34&lt;&gt;"",K34&lt;&gt;"",L34&lt;&gt;"")</f>
        <v>1</v>
      </c>
      <c r="AJ34" s="10"/>
      <c r="AK34" s="10" t="str">
        <f t="shared" ref="AK34:AK65" si="15">IF(AJ34&lt;&gt;"",AJ34,N34)</f>
        <v>Ohio St.</v>
      </c>
      <c r="AL34" s="10">
        <v>9</v>
      </c>
    </row>
    <row r="35" spans="1:38" ht="20" customHeight="1" x14ac:dyDescent="0.2">
      <c r="A35" s="14" t="s">
        <v>148</v>
      </c>
      <c r="B35" s="14" t="s">
        <v>202</v>
      </c>
      <c r="C35" s="5">
        <f>_xlfn.SWITCH(B35,
 "Round 1",1,
 "Round 2",2,
 "Sweet 16",3,
 "Elite 8",4,
 "Final Four",5,
 "Championship",6
)*100
+
COUNTIF($B$2:B35,B35)</f>
        <v>202</v>
      </c>
      <c r="D35" s="5" t="s">
        <v>22</v>
      </c>
      <c r="E35" s="5" t="s">
        <v>155</v>
      </c>
      <c r="F35" s="5" t="s">
        <v>147</v>
      </c>
      <c r="G35" s="5" t="s">
        <v>27</v>
      </c>
      <c r="H35" s="5" t="s">
        <v>35</v>
      </c>
      <c r="I35" s="15">
        <f t="array" ref="I35">IFERROR(INDEX('Team Ratings'!$B$2:$B$73,MATCH($G35,'Team Ratings'!$A$2:$A$73,0)),"")</f>
        <v>5</v>
      </c>
      <c r="J35" s="15">
        <f t="array" ref="J35">IFERROR(INDEX('Team Ratings'!$B$2:$B$73,MATCH($H35,'Team Ratings'!$A$2:$A$73,0)),"")</f>
        <v>13</v>
      </c>
      <c r="K35" s="12">
        <f>IF($S35=FALSE(),"",ROUND((0.35*IFERROR((U35-AVERAGE('Team Metrics'!$X$2:$X$65))/_xlfn.STDEV.P('Team Metrics'!$X$2:$X$65),0)) + (0.2*IFERROR((V35-AVERAGE('Team Metrics'!$W$2:$W$65))/_xlfn.STDEV.P('Team Metrics'!$W$2:$W$65),0)) + (0.15*IFERROR((W35-AVERAGE('Team Metrics'!$Y$2:$Y$65))/_xlfn.STDEV.P('Team Metrics'!$Y$2:$Y$65),0)) + (0.1*IFERROR((X35-AVERAGE('Team Metrics'!$Z$2:$Z$65))/_xlfn.STDEV.P('Team Metrics'!$Z$2:$Z$65),0)) + (0.1*IFERROR((Y35-AVERAGE('Team Metrics'!$AA$2:$AA$65))/_xlfn.STDEV.P('Team Metrics'!$AA$2:$AA$65),0)) + (0.05*IFERROR((Z35-AVERAGE('Team Metrics'!$AB$2:$AB$65))/_xlfn.STDEV.P('Team Metrics'!$AB$2:$AB$65),0)) + (0.05*IFERROR((AA35-AVERAGE('Team Metrics'!$S$2:$S$65))/IF(_xlfn.STDEV.P('Team Metrics'!$S$2:$S$65)=0,1,_xlfn.STDEV.P('Team Metrics'!$S$2:$S$65)),0)),4))</f>
        <v>0.55079999999999996</v>
      </c>
      <c r="L35" s="12">
        <f>IF($S35=FALSE(),"",ROUND((0.35*IFERROR((AB35-AVERAGE('Team Metrics'!$X$2:$X$65))/_xlfn.STDEV.P('Team Metrics'!$X$2:$X$65),0)) + (0.2*IFERROR((AC35-AVERAGE('Team Metrics'!$W$2:$W$65))/_xlfn.STDEV.P('Team Metrics'!$W$2:$W$65),0)) + (0.15*IFERROR((AD35-AVERAGE('Team Metrics'!$Y$2:$Y$65))/_xlfn.STDEV.P('Team Metrics'!$Y$2:$Y$65),0)) + (0.1*IFERROR((AE35-AVERAGE('Team Metrics'!$Z$2:$Z$65))/_xlfn.STDEV.P('Team Metrics'!$Z$2:$Z$65),0)) + (0.1*IFERROR((AF35-AVERAGE('Team Metrics'!$AA$2:$AA$65))/_xlfn.STDEV.P('Team Metrics'!$AA$2:$AA$65),0)) + (0.05*IFERROR((AG35-AVERAGE('Team Metrics'!$AB$2:$AB$65))/_xlfn.STDEV.P('Team Metrics'!$AB$2:$AB$65),0)) + (0.05*IFERROR((AH35-AVERAGE('Team Metrics'!$S$2:$S$65))/IF(_xlfn.STDEV.P('Team Metrics'!$S$2:$S$65)=0,1,_xlfn.STDEV.P('Team Metrics'!$S$2:$S$65)),0)),4))</f>
        <v>3.0999999999999999E-3</v>
      </c>
      <c r="M35" s="12">
        <f t="shared" si="8"/>
        <v>0.54769999999999996</v>
      </c>
      <c r="N35" s="10" t="str">
        <f t="shared" si="9"/>
        <v>St. John's</v>
      </c>
      <c r="O35" s="7">
        <f t="shared" si="10"/>
        <v>56.6</v>
      </c>
      <c r="P35" s="5" t="str">
        <f t="shared" si="11"/>
        <v/>
      </c>
      <c r="Q35" s="5" t="s">
        <v>203</v>
      </c>
      <c r="R35" s="5" t="s">
        <v>132</v>
      </c>
      <c r="S35" s="10" t="b">
        <f t="shared" si="12"/>
        <v>1</v>
      </c>
      <c r="T35" s="5" t="str">
        <f t="shared" si="13"/>
        <v>ΔComposite=0.55; AdjNET Δ=17.2; 3PT Δ=1.1; TO Δ=-1.1; REB Δ=1.1</v>
      </c>
      <c r="U35" s="16">
        <f t="array" ref="U35">IF($S35=FALSE(),"",ROUND((0.75*INDEX('Team Ratings'!$G$2:$G$73,MATCH($G35,'Team Ratings'!$A$2:$A$73,0)))+(0.25*INDEX('Team Ratings'!$T$2:$T$73,MATCH($G35,'Team Ratings'!$A$2:$A$73,0))),3))</f>
        <v>27.324999999999999</v>
      </c>
      <c r="V35" s="16">
        <f t="array" ref="V35">IF($S35=FALSE(),"",ROUND(INDEX('Team Ratings'!$T$2:$T$73,MATCH($G35,'Team Ratings'!$A$2:$A$73,0))-INDEX('Team Ratings'!$G$2:$G$73,MATCH($G35,'Team Ratings'!$A$2:$A$73,0)),3))</f>
        <v>6.5</v>
      </c>
      <c r="W35" s="16">
        <f t="array" ref="W35">IF($S35=FALSE(),"",ROUND(INDEX('Team Ratings'!$O$2:$O$73,MATCH($G35,'Team Ratings'!$A$2:$A$73,0))-INDEX('Team Ratings'!$P$2:$P$73,MATCH($H35,'Team Ratings'!$A$2:$A$73,0)),3))</f>
        <v>3.5</v>
      </c>
      <c r="X35" s="16">
        <f t="array" ref="X35">IF($S35=FALSE(),"",ROUND(INDEX('Team Ratings'!$K$2:$K$73,MATCH($G35,'Team Ratings'!$A$2:$A$73,0))-INDEX('Team Ratings'!$J$2:$J$73,MATCH($H35,'Team Ratings'!$A$2:$A$73,0)),3))</f>
        <v>1.3</v>
      </c>
      <c r="Y35" s="16">
        <f t="array" ref="Y35">IF($S35=FALSE(),"",ROUND(MAX(0,MIN(10,5+((INDEX('Team Ratings'!$L$2:$L$73,MATCH($G35,'Team Ratings'!$A$2:$A$73,0))-INDEX('Team Ratings'!$M$2:$M$73,MATCH($H35,'Team Ratings'!$A$2:$A$73,0)))+(INDEX('Team Ratings'!$M$2:$M$73,MATCH($G35,'Team Ratings'!$A$2:$A$73,0))-INDEX('Team Ratings'!$L$2:$L$73,MATCH($H35,'Team Ratings'!$A$2:$A$73,0))))/2)),3))</f>
        <v>5.55</v>
      </c>
      <c r="Z35" s="16">
        <f t="array" ref="Z35">IF($S35=FALSE(),"",ROUND((1/I35)*4 + (INDEX('Team Ratings'!$T$2:$T$73,MATCH($G35,'Team Ratings'!$A$2:$A$73,0))/MAX('Team Ratings'!$T$2:$T$73))*4 + (1-(INDEX('Team Ratings'!$J$2:$J$73,MATCH($G35,'Team Ratings'!$A$2:$A$73,0))/MAX('Team Ratings'!$J$2:$J$73)))*2 + (INDEX('Team Ratings'!$N$2:$N$73,MATCH($G35,'Team Ratings'!$A$2:$A$73,0))/MAX('Team Ratings'!$N$2:$N$73)) + (INDEX('Team Ratings'!$M$2:$M$73,MATCH($G35,'Team Ratings'!$A$2:$A$73,0))/MAX('Team Ratings'!$M$2:$M$73)),2))</f>
        <v>6.34</v>
      </c>
      <c r="AA35" s="16">
        <f t="array" ref="AA35">IF($S35=FALSE(),"",IFERROR(INDEX('Team Ratings'!$Q$2:$Q$73,MATCH($G35,'Team Ratings'!$A$2:$A$73,0)),0))</f>
        <v>0</v>
      </c>
      <c r="AB35" s="16">
        <f t="array" ref="AB35">IF($S35=FALSE(),"",ROUND((0.75*INDEX('Team Ratings'!$G$2:$G$73,MATCH($H35,'Team Ratings'!$A$2:$A$73,0)))+(0.25*INDEX('Team Ratings'!$T$2:$T$73,MATCH($H35,'Team Ratings'!$A$2:$A$73,0))),3))</f>
        <v>10.175000000000001</v>
      </c>
      <c r="AC35" s="16">
        <f t="array" ref="AC35">IF($S35=FALSE(),"",ROUND(INDEX('Team Ratings'!$T$2:$T$73,MATCH($H35,'Team Ratings'!$A$2:$A$73,0))-INDEX('Team Ratings'!$G$2:$G$73,MATCH($H35,'Team Ratings'!$A$2:$A$73,0)),3))</f>
        <v>11.9</v>
      </c>
      <c r="AD35" s="16">
        <f t="array" ref="AD35">IF($S35=FALSE(),"",ROUND(INDEX('Team Ratings'!$O$2:$O$73,MATCH($H35,'Team Ratings'!$A$2:$A$73,0))-INDEX('Team Ratings'!$P$2:$P$73,MATCH($G35,'Team Ratings'!$A$2:$A$73,0)),3))</f>
        <v>2.4</v>
      </c>
      <c r="AE35" s="16">
        <f t="array" ref="AE35">IF($S35=FALSE(),"",ROUND(INDEX('Team Ratings'!$K$2:$K$73,MATCH($H35,'Team Ratings'!$A$2:$A$73,0))-INDEX('Team Ratings'!$J$2:$J$73,MATCH($G35,'Team Ratings'!$A$2:$A$73,0)),3))</f>
        <v>2.4</v>
      </c>
      <c r="AF35" s="16">
        <f t="array" ref="AF35">IF($S35=FALSE(),"",ROUND(MAX(0,MIN(10,5+((INDEX('Team Ratings'!$L$2:$L$73,MATCH($H35,'Team Ratings'!$A$2:$A$73,0))-INDEX('Team Ratings'!$M$2:$M$73,MATCH($G35,'Team Ratings'!$A$2:$A$73,0)))+(INDEX('Team Ratings'!$M$2:$M$73,MATCH($H35,'Team Ratings'!$A$2:$A$73,0))-INDEX('Team Ratings'!$L$2:$L$73,MATCH($G35,'Team Ratings'!$A$2:$A$73,0))))/2)),3))</f>
        <v>4.45</v>
      </c>
      <c r="AG35" s="16">
        <f t="array" ref="AG35">IF($S35=FALSE(),"",ROUND((1/J35)*4 + (INDEX('Team Ratings'!$T$2:$T$73,MATCH($H35,'Team Ratings'!$A$2:$A$73,0))/MAX('Team Ratings'!$T$2:$T$73))*4 + (1-(INDEX('Team Ratings'!$J$2:$J$73,MATCH($H35,'Team Ratings'!$A$2:$A$73,0))/MAX('Team Ratings'!$J$2:$J$73)))*2 + (INDEX('Team Ratings'!$N$2:$N$73,MATCH($H35,'Team Ratings'!$A$2:$A$73,0))/MAX('Team Ratings'!$N$2:$N$73)) + (INDEX('Team Ratings'!$M$2:$M$73,MATCH($H35,'Team Ratings'!$A$2:$A$73,0))/MAX('Team Ratings'!$M$2:$M$73)),2))</f>
        <v>3.97</v>
      </c>
      <c r="AH35" s="16">
        <f t="array" ref="AH35">IF($S35=FALSE(),"",IFERROR(INDEX('Team Ratings'!$Q$2:$Q$73,MATCH($H35,'Team Ratings'!$A$2:$A$73,0)),0))</f>
        <v>0</v>
      </c>
      <c r="AI35" s="10" t="b">
        <f t="shared" si="14"/>
        <v>1</v>
      </c>
      <c r="AJ35" s="10"/>
      <c r="AK35" s="10" t="str">
        <f t="shared" si="15"/>
        <v>St. John's</v>
      </c>
      <c r="AL35" s="10">
        <v>9</v>
      </c>
    </row>
    <row r="36" spans="1:38" ht="20" customHeight="1" x14ac:dyDescent="0.2">
      <c r="A36" s="14" t="s">
        <v>140</v>
      </c>
      <c r="B36" s="14" t="s">
        <v>202</v>
      </c>
      <c r="C36" s="5">
        <f>_xlfn.SWITCH(B36,
 "Round 1",1,
 "Round 2",2,
 "Sweet 16",3,
 "Elite 8",4,
 "Final Four",5,
 "Championship",6
)*100
+
COUNTIF($B$2:B36,B36)</f>
        <v>203</v>
      </c>
      <c r="D36" s="5" t="s">
        <v>22</v>
      </c>
      <c r="E36" s="5" t="s">
        <v>159</v>
      </c>
      <c r="F36" s="5" t="s">
        <v>139</v>
      </c>
      <c r="G36" s="5" t="s">
        <v>33</v>
      </c>
      <c r="H36" s="5" t="s">
        <v>25</v>
      </c>
      <c r="I36" s="15">
        <f t="array" ref="I36">IFERROR(INDEX('Team Ratings'!$B$2:$B$73,MATCH($G36,'Team Ratings'!$A$2:$A$73,0)),"")</f>
        <v>11</v>
      </c>
      <c r="J36" s="15">
        <f t="array" ref="J36">IFERROR(INDEX('Team Ratings'!$B$2:$B$73,MATCH($H36,'Team Ratings'!$A$2:$A$73,0)),"")</f>
        <v>3</v>
      </c>
      <c r="K36" s="12">
        <f>IF($S36=FALSE(),"",ROUND((0.35*IFERROR((U36-AVERAGE('Team Metrics'!$X$2:$X$65))/_xlfn.STDEV.P('Team Metrics'!$X$2:$X$65),0)) + (0.2*IFERROR((V36-AVERAGE('Team Metrics'!$W$2:$W$65))/_xlfn.STDEV.P('Team Metrics'!$W$2:$W$65),0)) + (0.15*IFERROR((W36-AVERAGE('Team Metrics'!$Y$2:$Y$65))/_xlfn.STDEV.P('Team Metrics'!$Y$2:$Y$65),0)) + (0.1*IFERROR((X36-AVERAGE('Team Metrics'!$Z$2:$Z$65))/_xlfn.STDEV.P('Team Metrics'!$Z$2:$Z$65),0)) + (0.1*IFERROR((Y36-AVERAGE('Team Metrics'!$AA$2:$AA$65))/_xlfn.STDEV.P('Team Metrics'!$AA$2:$AA$65),0)) + (0.05*IFERROR((Z36-AVERAGE('Team Metrics'!$AB$2:$AB$65))/_xlfn.STDEV.P('Team Metrics'!$AB$2:$AB$65),0)) + (0.05*IFERROR((AA36-AVERAGE('Team Metrics'!$S$2:$S$65))/IF(_xlfn.STDEV.P('Team Metrics'!$S$2:$S$65)=0,1,_xlfn.STDEV.P('Team Metrics'!$S$2:$S$65)),0)),4))</f>
        <v>0.11650000000000001</v>
      </c>
      <c r="L36" s="12">
        <f>IF($S36=FALSE(),"",ROUND((0.35*IFERROR((AB36-AVERAGE('Team Metrics'!$X$2:$X$65))/_xlfn.STDEV.P('Team Metrics'!$X$2:$X$65),0)) + (0.2*IFERROR((AC36-AVERAGE('Team Metrics'!$W$2:$W$65))/_xlfn.STDEV.P('Team Metrics'!$W$2:$W$65),0)) + (0.15*IFERROR((AD36-AVERAGE('Team Metrics'!$Y$2:$Y$65))/_xlfn.STDEV.P('Team Metrics'!$Y$2:$Y$65),0)) + (0.1*IFERROR((AE36-AVERAGE('Team Metrics'!$Z$2:$Z$65))/_xlfn.STDEV.P('Team Metrics'!$Z$2:$Z$65),0)) + (0.1*IFERROR((AF36-AVERAGE('Team Metrics'!$AA$2:$AA$65))/_xlfn.STDEV.P('Team Metrics'!$AA$2:$AA$65),0)) + (0.05*IFERROR((AG36-AVERAGE('Team Metrics'!$AB$2:$AB$65))/_xlfn.STDEV.P('Team Metrics'!$AB$2:$AB$65),0)) + (0.05*IFERROR((AH36-AVERAGE('Team Metrics'!$S$2:$S$65))/IF(_xlfn.STDEV.P('Team Metrics'!$S$2:$S$65)=0,1,_xlfn.STDEV.P('Team Metrics'!$S$2:$S$65)),0)),4))</f>
        <v>2.5700000000000001E-2</v>
      </c>
      <c r="M36" s="12">
        <f t="shared" si="8"/>
        <v>9.0800000000000006E-2</v>
      </c>
      <c r="N36" s="10" t="str">
        <f t="shared" si="9"/>
        <v>South Florida</v>
      </c>
      <c r="O36" s="7">
        <f t="shared" si="10"/>
        <v>51.1</v>
      </c>
      <c r="P36" s="5" t="str">
        <f t="shared" si="11"/>
        <v>UPSET</v>
      </c>
      <c r="Q36" s="5" t="s">
        <v>204</v>
      </c>
      <c r="R36" s="5" t="s">
        <v>123</v>
      </c>
      <c r="S36" s="10" t="b">
        <f t="shared" si="12"/>
        <v>1</v>
      </c>
      <c r="T36" s="5" t="str">
        <f t="shared" si="13"/>
        <v>ΔComposite=0.09; AdjNET Δ=-9.7; 3PT Δ=-1.8; TO Δ=2.1; REB Δ=8.9</v>
      </c>
      <c r="U36" s="16">
        <f t="array" ref="U36">IF($S36=FALSE(),"",ROUND((0.75*INDEX('Team Ratings'!$G$2:$G$73,MATCH($G36,'Team Ratings'!$A$2:$A$73,0)))+(0.25*INDEX('Team Ratings'!$T$2:$T$73,MATCH($G36,'Team Ratings'!$A$2:$A$73,0))),3))</f>
        <v>16.95</v>
      </c>
      <c r="V36" s="16">
        <f t="array" ref="V36">IF($S36=FALSE(),"",ROUND(INDEX('Team Ratings'!$T$2:$T$73,MATCH($G36,'Team Ratings'!$A$2:$A$73,0))-INDEX('Team Ratings'!$G$2:$G$73,MATCH($G36,'Team Ratings'!$A$2:$A$73,0)),3))</f>
        <v>6.2</v>
      </c>
      <c r="W36" s="16">
        <f t="array" ref="W36">IF($S36=FALSE(),"",ROUND(INDEX('Team Ratings'!$O$2:$O$73,MATCH($G36,'Team Ratings'!$A$2:$A$73,0))-INDEX('Team Ratings'!$P$2:$P$73,MATCH($H36,'Team Ratings'!$A$2:$A$73,0)),3))</f>
        <v>0.2</v>
      </c>
      <c r="X36" s="16">
        <f t="array" ref="X36">IF($S36=FALSE(),"",ROUND(INDEX('Team Ratings'!$K$2:$K$73,MATCH($G36,'Team Ratings'!$A$2:$A$73,0))-INDEX('Team Ratings'!$J$2:$J$73,MATCH($H36,'Team Ratings'!$A$2:$A$73,0)),3))</f>
        <v>1.7</v>
      </c>
      <c r="Y36" s="16">
        <f t="array" ref="Y36">IF($S36=FALSE(),"",ROUND(MAX(0,MIN(10,5+((INDEX('Team Ratings'!$L$2:$L$73,MATCH($G36,'Team Ratings'!$A$2:$A$73,0))-INDEX('Team Ratings'!$M$2:$M$73,MATCH($H36,'Team Ratings'!$A$2:$A$73,0)))+(INDEX('Team Ratings'!$M$2:$M$73,MATCH($G36,'Team Ratings'!$A$2:$A$73,0))-INDEX('Team Ratings'!$L$2:$L$73,MATCH($H36,'Team Ratings'!$A$2:$A$73,0))))/2)),3))</f>
        <v>9.4499999999999993</v>
      </c>
      <c r="Z36" s="16">
        <f t="array" ref="Z36">IF($S36=FALSE(),"",ROUND((1/I36)*4 + (INDEX('Team Ratings'!$T$2:$T$73,MATCH($G36,'Team Ratings'!$A$2:$A$73,0))/MAX('Team Ratings'!$T$2:$T$73))*4 + (1-(INDEX('Team Ratings'!$J$2:$J$73,MATCH($G36,'Team Ratings'!$A$2:$A$73,0))/MAX('Team Ratings'!$J$2:$J$73)))*2 + (INDEX('Team Ratings'!$N$2:$N$73,MATCH($G36,'Team Ratings'!$A$2:$A$73,0))/MAX('Team Ratings'!$N$2:$N$73)) + (INDEX('Team Ratings'!$M$2:$M$73,MATCH($G36,'Team Ratings'!$A$2:$A$73,0))/MAX('Team Ratings'!$M$2:$M$73)),2))</f>
        <v>4.8099999999999996</v>
      </c>
      <c r="AA36" s="16">
        <f t="array" ref="AA36">IF($S36=FALSE(),"",IFERROR(INDEX('Team Ratings'!$Q$2:$Q$73,MATCH($G36,'Team Ratings'!$A$2:$A$73,0)),0))</f>
        <v>0</v>
      </c>
      <c r="AB36" s="16">
        <f t="array" ref="AB36">IF($S36=FALSE(),"",ROUND((0.75*INDEX('Team Ratings'!$G$2:$G$73,MATCH($H36,'Team Ratings'!$A$2:$A$73,0)))+(0.25*INDEX('Team Ratings'!$T$2:$T$73,MATCH($H36,'Team Ratings'!$A$2:$A$73,0))),3))</f>
        <v>26.625</v>
      </c>
      <c r="AC36" s="16">
        <f t="array" ref="AC36">IF($S36=FALSE(),"",ROUND(INDEX('Team Ratings'!$T$2:$T$73,MATCH($H36,'Team Ratings'!$A$2:$A$73,0))-INDEX('Team Ratings'!$G$2:$G$73,MATCH($H36,'Team Ratings'!$A$2:$A$73,0)),3))</f>
        <v>-0.3</v>
      </c>
      <c r="AD36" s="16">
        <f t="array" ref="AD36">IF($S36=FALSE(),"",ROUND(INDEX('Team Ratings'!$O$2:$O$73,MATCH($H36,'Team Ratings'!$A$2:$A$73,0))-INDEX('Team Ratings'!$P$2:$P$73,MATCH($G36,'Team Ratings'!$A$2:$A$73,0)),3))</f>
        <v>2</v>
      </c>
      <c r="AE36" s="16">
        <f t="array" ref="AE36">IF($S36=FALSE(),"",ROUND(INDEX('Team Ratings'!$K$2:$K$73,MATCH($H36,'Team Ratings'!$A$2:$A$73,0))-INDEX('Team Ratings'!$J$2:$J$73,MATCH($G36,'Team Ratings'!$A$2:$A$73,0)),3))</f>
        <v>-0.4</v>
      </c>
      <c r="AF36" s="16">
        <f t="array" ref="AF36">IF($S36=FALSE(),"",ROUND(MAX(0,MIN(10,5+((INDEX('Team Ratings'!$L$2:$L$73,MATCH($H36,'Team Ratings'!$A$2:$A$73,0))-INDEX('Team Ratings'!$M$2:$M$73,MATCH($G36,'Team Ratings'!$A$2:$A$73,0)))+(INDEX('Team Ratings'!$M$2:$M$73,MATCH($H36,'Team Ratings'!$A$2:$A$73,0))-INDEX('Team Ratings'!$L$2:$L$73,MATCH($G36,'Team Ratings'!$A$2:$A$73,0))))/2)),3))</f>
        <v>0.55000000000000004</v>
      </c>
      <c r="AG36" s="16">
        <f t="array" ref="AG36">IF($S36=FALSE(),"",ROUND((1/J36)*4 + (INDEX('Team Ratings'!$T$2:$T$73,MATCH($H36,'Team Ratings'!$A$2:$A$73,0))/MAX('Team Ratings'!$T$2:$T$73))*4 + (1-(INDEX('Team Ratings'!$J$2:$J$73,MATCH($H36,'Team Ratings'!$A$2:$A$73,0))/MAX('Team Ratings'!$J$2:$J$73)))*2 + (INDEX('Team Ratings'!$N$2:$N$73,MATCH($H36,'Team Ratings'!$A$2:$A$73,0))/MAX('Team Ratings'!$N$2:$N$73)) + (INDEX('Team Ratings'!$M$2:$M$73,MATCH($H36,'Team Ratings'!$A$2:$A$73,0))/MAX('Team Ratings'!$M$2:$M$73)),2))</f>
        <v>5.7</v>
      </c>
      <c r="AH36" s="16">
        <f t="array" ref="AH36">IF($S36=FALSE(),"",IFERROR(INDEX('Team Ratings'!$Q$2:$Q$73,MATCH($H36,'Team Ratings'!$A$2:$A$73,0)),0))</f>
        <v>0</v>
      </c>
      <c r="AI36" s="10" t="b">
        <f t="shared" si="14"/>
        <v>1</v>
      </c>
      <c r="AJ36" s="10"/>
      <c r="AK36" s="10" t="str">
        <f t="shared" si="15"/>
        <v>South Florida</v>
      </c>
      <c r="AL36" s="10">
        <v>9</v>
      </c>
    </row>
    <row r="37" spans="1:38" ht="20" customHeight="1" x14ac:dyDescent="0.2">
      <c r="A37" s="14" t="s">
        <v>131</v>
      </c>
      <c r="B37" s="14" t="s">
        <v>202</v>
      </c>
      <c r="C37" s="5">
        <f>_xlfn.SWITCH(B37,
 "Round 1",1,
 "Round 2",2,
 "Sweet 16",3,
 "Elite 8",4,
 "Final Four",5,
 "Championship",6
)*100
+
COUNTIF($B$2:B37,B37)</f>
        <v>204</v>
      </c>
      <c r="D37" s="5" t="s">
        <v>22</v>
      </c>
      <c r="E37" s="5" t="s">
        <v>163</v>
      </c>
      <c r="F37" s="5" t="s">
        <v>130</v>
      </c>
      <c r="G37" s="5" t="s">
        <v>29</v>
      </c>
      <c r="H37" s="5" t="s">
        <v>24</v>
      </c>
      <c r="I37" s="15">
        <f t="array" ref="I37">IFERROR(INDEX('Team Ratings'!$B$2:$B$73,MATCH($G37,'Team Ratings'!$A$2:$A$73,0)),"")</f>
        <v>7</v>
      </c>
      <c r="J37" s="15">
        <f t="array" ref="J37">IFERROR(INDEX('Team Ratings'!$B$2:$B$73,MATCH($H37,'Team Ratings'!$A$2:$A$73,0)),"")</f>
        <v>2</v>
      </c>
      <c r="K37" s="12">
        <f>IF($S37=FALSE(),"",ROUND((0.35*IFERROR((U37-AVERAGE('Team Metrics'!$X$2:$X$65))/_xlfn.STDEV.P('Team Metrics'!$X$2:$X$65),0)) + (0.2*IFERROR((V37-AVERAGE('Team Metrics'!$W$2:$W$65))/_xlfn.STDEV.P('Team Metrics'!$W$2:$W$65),0)) + (0.15*IFERROR((W37-AVERAGE('Team Metrics'!$Y$2:$Y$65))/_xlfn.STDEV.P('Team Metrics'!$Y$2:$Y$65),0)) + (0.1*IFERROR((X37-AVERAGE('Team Metrics'!$Z$2:$Z$65))/_xlfn.STDEV.P('Team Metrics'!$Z$2:$Z$65),0)) + (0.1*IFERROR((Y37-AVERAGE('Team Metrics'!$AA$2:$AA$65))/_xlfn.STDEV.P('Team Metrics'!$AA$2:$AA$65),0)) + (0.05*IFERROR((Z37-AVERAGE('Team Metrics'!$AB$2:$AB$65))/_xlfn.STDEV.P('Team Metrics'!$AB$2:$AB$65),0)) + (0.05*IFERROR((AA37-AVERAGE('Team Metrics'!$S$2:$S$65))/IF(_xlfn.STDEV.P('Team Metrics'!$S$2:$S$65)=0,1,_xlfn.STDEV.P('Team Metrics'!$S$2:$S$65)),0)),4))</f>
        <v>0.87280000000000002</v>
      </c>
      <c r="L37" s="12">
        <f>IF($S37=FALSE(),"",ROUND((0.35*IFERROR((AB37-AVERAGE('Team Metrics'!$X$2:$X$65))/_xlfn.STDEV.P('Team Metrics'!$X$2:$X$65),0)) + (0.2*IFERROR((AC37-AVERAGE('Team Metrics'!$W$2:$W$65))/_xlfn.STDEV.P('Team Metrics'!$W$2:$W$65),0)) + (0.15*IFERROR((AD37-AVERAGE('Team Metrics'!$Y$2:$Y$65))/_xlfn.STDEV.P('Team Metrics'!$Y$2:$Y$65),0)) + (0.1*IFERROR((AE37-AVERAGE('Team Metrics'!$Z$2:$Z$65))/_xlfn.STDEV.P('Team Metrics'!$Z$2:$Z$65),0)) + (0.1*IFERROR((AF37-AVERAGE('Team Metrics'!$AA$2:$AA$65))/_xlfn.STDEV.P('Team Metrics'!$AA$2:$AA$65),0)) + (0.05*IFERROR((AG37-AVERAGE('Team Metrics'!$AB$2:$AB$65))/_xlfn.STDEV.P('Team Metrics'!$AB$2:$AB$65),0)) + (0.05*IFERROR((AH37-AVERAGE('Team Metrics'!$S$2:$S$65))/IF(_xlfn.STDEV.P('Team Metrics'!$S$2:$S$65)=0,1,_xlfn.STDEV.P('Team Metrics'!$S$2:$S$65)),0)),4))</f>
        <v>0.23799999999999999</v>
      </c>
      <c r="M37" s="12">
        <f t="shared" si="8"/>
        <v>0.63480000000000003</v>
      </c>
      <c r="N37" s="10" t="str">
        <f t="shared" si="9"/>
        <v>UCLA</v>
      </c>
      <c r="O37" s="7">
        <f t="shared" si="10"/>
        <v>57.6</v>
      </c>
      <c r="P37" s="5" t="str">
        <f t="shared" si="11"/>
        <v>UPSET</v>
      </c>
      <c r="Q37" s="5" t="s">
        <v>204</v>
      </c>
      <c r="R37" s="5" t="s">
        <v>132</v>
      </c>
      <c r="S37" s="10" t="b">
        <f t="shared" si="12"/>
        <v>1</v>
      </c>
      <c r="T37" s="5" t="str">
        <f t="shared" si="13"/>
        <v>ΔComposite=0.63; AdjNET Δ=0.4; 3PT Δ=4.5; TO Δ=-3.3; REB Δ=-0.9</v>
      </c>
      <c r="U37" s="16">
        <f t="array" ref="U37">IF($S37=FALSE(),"",ROUND((0.75*INDEX('Team Ratings'!$G$2:$G$73,MATCH($G37,'Team Ratings'!$A$2:$A$73,0)))+(0.25*INDEX('Team Ratings'!$T$2:$T$73,MATCH($G37,'Team Ratings'!$A$2:$A$73,0))),3))</f>
        <v>26.35</v>
      </c>
      <c r="V37" s="16">
        <f t="array" ref="V37">IF($S37=FALSE(),"",ROUND(INDEX('Team Ratings'!$T$2:$T$73,MATCH($G37,'Team Ratings'!$A$2:$A$73,0))-INDEX('Team Ratings'!$G$2:$G$73,MATCH($G37,'Team Ratings'!$A$2:$A$73,0)),3))</f>
        <v>14.2</v>
      </c>
      <c r="W37" s="16">
        <f t="array" ref="W37">IF($S37=FALSE(),"",ROUND(INDEX('Team Ratings'!$O$2:$O$73,MATCH($G37,'Team Ratings'!$A$2:$A$73,0))-INDEX('Team Ratings'!$P$2:$P$73,MATCH($H37,'Team Ratings'!$A$2:$A$73,0)),3))</f>
        <v>7.9</v>
      </c>
      <c r="X37" s="16">
        <f t="array" ref="X37">IF($S37=FALSE(),"",ROUND(INDEX('Team Ratings'!$K$2:$K$73,MATCH($G37,'Team Ratings'!$A$2:$A$73,0))-INDEX('Team Ratings'!$J$2:$J$73,MATCH($H37,'Team Ratings'!$A$2:$A$73,0)),3))</f>
        <v>1.3</v>
      </c>
      <c r="Y37" s="16">
        <f t="array" ref="Y37">IF($S37=FALSE(),"",ROUND(MAX(0,MIN(10,5+((INDEX('Team Ratings'!$L$2:$L$73,MATCH($G37,'Team Ratings'!$A$2:$A$73,0))-INDEX('Team Ratings'!$M$2:$M$73,MATCH($H37,'Team Ratings'!$A$2:$A$73,0)))+(INDEX('Team Ratings'!$M$2:$M$73,MATCH($G37,'Team Ratings'!$A$2:$A$73,0))-INDEX('Team Ratings'!$L$2:$L$73,MATCH($H37,'Team Ratings'!$A$2:$A$73,0))))/2)),3))</f>
        <v>4.55</v>
      </c>
      <c r="Z37" s="16">
        <f t="array" ref="Z37">IF($S37=FALSE(),"",ROUND((1/I37)*4 + (INDEX('Team Ratings'!$T$2:$T$73,MATCH($G37,'Team Ratings'!$A$2:$A$73,0))/MAX('Team Ratings'!$T$2:$T$73))*4 + (1-(INDEX('Team Ratings'!$J$2:$J$73,MATCH($G37,'Team Ratings'!$A$2:$A$73,0))/MAX('Team Ratings'!$J$2:$J$73)))*2 + (INDEX('Team Ratings'!$N$2:$N$73,MATCH($G37,'Team Ratings'!$A$2:$A$73,0))/MAX('Team Ratings'!$N$2:$N$73)) + (INDEX('Team Ratings'!$M$2:$M$73,MATCH($G37,'Team Ratings'!$A$2:$A$73,0))/MAX('Team Ratings'!$M$2:$M$73)),2))</f>
        <v>6.6</v>
      </c>
      <c r="AA37" s="16">
        <f t="array" ref="AA37">IF($S37=FALSE(),"",IFERROR(INDEX('Team Ratings'!$Q$2:$Q$73,MATCH($G37,'Team Ratings'!$A$2:$A$73,0)),0))</f>
        <v>-1</v>
      </c>
      <c r="AB37" s="16">
        <f t="array" ref="AB37">IF($S37=FALSE(),"",ROUND((0.75*INDEX('Team Ratings'!$G$2:$G$73,MATCH($H37,'Team Ratings'!$A$2:$A$73,0)))+(0.25*INDEX('Team Ratings'!$T$2:$T$73,MATCH($H37,'Team Ratings'!$A$2:$A$73,0))),3))</f>
        <v>25.95</v>
      </c>
      <c r="AC37" s="16">
        <f t="array" ref="AC37">IF($S37=FALSE(),"",ROUND(INDEX('Team Ratings'!$T$2:$T$73,MATCH($H37,'Team Ratings'!$A$2:$A$73,0))-INDEX('Team Ratings'!$G$2:$G$73,MATCH($H37,'Team Ratings'!$A$2:$A$73,0)),3))</f>
        <v>-8.6</v>
      </c>
      <c r="AD37" s="16">
        <f t="array" ref="AD37">IF($S37=FALSE(),"",ROUND(INDEX('Team Ratings'!$O$2:$O$73,MATCH($H37,'Team Ratings'!$A$2:$A$73,0))-INDEX('Team Ratings'!$P$2:$P$73,MATCH($G37,'Team Ratings'!$A$2:$A$73,0)),3))</f>
        <v>3.4</v>
      </c>
      <c r="AE37" s="16">
        <f t="array" ref="AE37">IF($S37=FALSE(),"",ROUND(INDEX('Team Ratings'!$K$2:$K$73,MATCH($H37,'Team Ratings'!$A$2:$A$73,0))-INDEX('Team Ratings'!$J$2:$J$73,MATCH($G37,'Team Ratings'!$A$2:$A$73,0)),3))</f>
        <v>4.5999999999999996</v>
      </c>
      <c r="AF37" s="16">
        <f t="array" ref="AF37">IF($S37=FALSE(),"",ROUND(MAX(0,MIN(10,5+((INDEX('Team Ratings'!$L$2:$L$73,MATCH($H37,'Team Ratings'!$A$2:$A$73,0))-INDEX('Team Ratings'!$M$2:$M$73,MATCH($G37,'Team Ratings'!$A$2:$A$73,0)))+(INDEX('Team Ratings'!$M$2:$M$73,MATCH($H37,'Team Ratings'!$A$2:$A$73,0))-INDEX('Team Ratings'!$L$2:$L$73,MATCH($G37,'Team Ratings'!$A$2:$A$73,0))))/2)),3))</f>
        <v>5.45</v>
      </c>
      <c r="AG37" s="16">
        <f t="array" ref="AG37">IF($S37=FALSE(),"",ROUND((1/J37)*4 + (INDEX('Team Ratings'!$T$2:$T$73,MATCH($H37,'Team Ratings'!$A$2:$A$73,0))/MAX('Team Ratings'!$T$2:$T$73))*4 + (1-(INDEX('Team Ratings'!$J$2:$J$73,MATCH($H37,'Team Ratings'!$A$2:$A$73,0))/MAX('Team Ratings'!$J$2:$J$73)))*2 + (INDEX('Team Ratings'!$N$2:$N$73,MATCH($H37,'Team Ratings'!$A$2:$A$73,0))/MAX('Team Ratings'!$N$2:$N$73)) + (INDEX('Team Ratings'!$M$2:$M$73,MATCH($H37,'Team Ratings'!$A$2:$A$73,0))/MAX('Team Ratings'!$M$2:$M$73)),2))</f>
        <v>5.74</v>
      </c>
      <c r="AH37" s="16">
        <f t="array" ref="AH37">IF($S37=FALSE(),"",IFERROR(INDEX('Team Ratings'!$Q$2:$Q$73,MATCH($H37,'Team Ratings'!$A$2:$A$73,0)),0))</f>
        <v>0</v>
      </c>
      <c r="AI37" s="10" t="b">
        <f t="shared" si="14"/>
        <v>1</v>
      </c>
      <c r="AJ37" s="10"/>
      <c r="AK37" s="10" t="str">
        <f t="shared" si="15"/>
        <v>UCLA</v>
      </c>
      <c r="AL37" s="10">
        <v>9</v>
      </c>
    </row>
    <row r="38" spans="1:38" ht="20" customHeight="1" x14ac:dyDescent="0.2">
      <c r="A38" s="14" t="s">
        <v>129</v>
      </c>
      <c r="B38" s="14" t="s">
        <v>202</v>
      </c>
      <c r="C38" s="5">
        <f>_xlfn.SWITCH(B38,
 "Round 1",1,
 "Round 2",2,
 "Sweet 16",3,
 "Elite 8",4,
 "Final Four",5,
 "Championship",6
)*100
+
COUNTIF($B$2:B38,B38)</f>
        <v>205</v>
      </c>
      <c r="D38" s="5" t="s">
        <v>40</v>
      </c>
      <c r="E38" s="5" t="s">
        <v>128</v>
      </c>
      <c r="F38" s="5" t="s">
        <v>170</v>
      </c>
      <c r="G38" s="5" t="s">
        <v>39</v>
      </c>
      <c r="H38" s="5" t="s">
        <v>48</v>
      </c>
      <c r="I38" s="15">
        <f t="array" ref="I38">IFERROR(INDEX('Team Ratings'!$B$2:$B$73,MATCH($G38,'Team Ratings'!$A$2:$A$73,0)),"")</f>
        <v>1</v>
      </c>
      <c r="J38" s="15">
        <f t="array" ref="J38">IFERROR(INDEX('Team Ratings'!$B$2:$B$73,MATCH($H38,'Team Ratings'!$A$2:$A$73,0)),"")</f>
        <v>9</v>
      </c>
      <c r="K38" s="12">
        <f>IF($S38=FALSE(),"",ROUND((0.35*IFERROR((U38-AVERAGE('Team Metrics'!$X$2:$X$65))/_xlfn.STDEV.P('Team Metrics'!$X$2:$X$65),0)) + (0.2*IFERROR((V38-AVERAGE('Team Metrics'!$W$2:$W$65))/_xlfn.STDEV.P('Team Metrics'!$W$2:$W$65),0)) + (0.15*IFERROR((W38-AVERAGE('Team Metrics'!$Y$2:$Y$65))/_xlfn.STDEV.P('Team Metrics'!$Y$2:$Y$65),0)) + (0.1*IFERROR((X38-AVERAGE('Team Metrics'!$Z$2:$Z$65))/_xlfn.STDEV.P('Team Metrics'!$Z$2:$Z$65),0)) + (0.1*IFERROR((Y38-AVERAGE('Team Metrics'!$AA$2:$AA$65))/_xlfn.STDEV.P('Team Metrics'!$AA$2:$AA$65),0)) + (0.05*IFERROR((Z38-AVERAGE('Team Metrics'!$AB$2:$AB$65))/_xlfn.STDEV.P('Team Metrics'!$AB$2:$AB$65),0)) + (0.05*IFERROR((AA38-AVERAGE('Team Metrics'!$S$2:$S$65))/IF(_xlfn.STDEV.P('Team Metrics'!$S$2:$S$65)=0,1,_xlfn.STDEV.P('Team Metrics'!$S$2:$S$65)),0)),4))</f>
        <v>0.77349999999999997</v>
      </c>
      <c r="L38" s="12">
        <f>IF($S38=FALSE(),"",ROUND((0.35*IFERROR((AB38-AVERAGE('Team Metrics'!$X$2:$X$65))/_xlfn.STDEV.P('Team Metrics'!$X$2:$X$65),0)) + (0.2*IFERROR((AC38-AVERAGE('Team Metrics'!$W$2:$W$65))/_xlfn.STDEV.P('Team Metrics'!$W$2:$W$65),0)) + (0.15*IFERROR((AD38-AVERAGE('Team Metrics'!$Y$2:$Y$65))/_xlfn.STDEV.P('Team Metrics'!$Y$2:$Y$65),0)) + (0.1*IFERROR((AE38-AVERAGE('Team Metrics'!$Z$2:$Z$65))/_xlfn.STDEV.P('Team Metrics'!$Z$2:$Z$65),0)) + (0.1*IFERROR((AF38-AVERAGE('Team Metrics'!$AA$2:$AA$65))/_xlfn.STDEV.P('Team Metrics'!$AA$2:$AA$65),0)) + (0.05*IFERROR((AG38-AVERAGE('Team Metrics'!$AB$2:$AB$65))/_xlfn.STDEV.P('Team Metrics'!$AB$2:$AB$65),0)) + (0.05*IFERROR((AH38-AVERAGE('Team Metrics'!$S$2:$S$65))/IF(_xlfn.STDEV.P('Team Metrics'!$S$2:$S$65)=0,1,_xlfn.STDEV.P('Team Metrics'!$S$2:$S$65)),0)),4))</f>
        <v>0.23230000000000001</v>
      </c>
      <c r="M38" s="12">
        <f t="shared" si="8"/>
        <v>0.54120000000000001</v>
      </c>
      <c r="N38" s="10" t="str">
        <f t="shared" si="9"/>
        <v>Arizona</v>
      </c>
      <c r="O38" s="7">
        <f t="shared" si="10"/>
        <v>56.5</v>
      </c>
      <c r="P38" s="5" t="str">
        <f t="shared" si="11"/>
        <v/>
      </c>
      <c r="Q38" s="5" t="s">
        <v>205</v>
      </c>
      <c r="R38" s="5" t="s">
        <v>123</v>
      </c>
      <c r="S38" s="10" t="b">
        <f t="shared" si="12"/>
        <v>1</v>
      </c>
      <c r="T38" s="5" t="str">
        <f t="shared" si="13"/>
        <v>ΔComposite=0.54; AdjNET Δ=16.1; 3PT Δ=-1.6; TO Δ=-4.2; REB Δ=-0.3</v>
      </c>
      <c r="U38" s="16">
        <f t="array" ref="U38">IF($S38=FALSE(),"",ROUND((0.75*INDEX('Team Ratings'!$G$2:$G$73,MATCH($G38,'Team Ratings'!$A$2:$A$73,0)))+(0.25*INDEX('Team Ratings'!$T$2:$T$73,MATCH($G38,'Team Ratings'!$A$2:$A$73,0))),3))</f>
        <v>36.524999999999999</v>
      </c>
      <c r="V38" s="16">
        <f t="array" ref="V38">IF($S38=FALSE(),"",ROUND(INDEX('Team Ratings'!$T$2:$T$73,MATCH($G38,'Team Ratings'!$A$2:$A$73,0))-INDEX('Team Ratings'!$G$2:$G$73,MATCH($G38,'Team Ratings'!$A$2:$A$73,0)),3))</f>
        <v>4.0999999999999996</v>
      </c>
      <c r="W38" s="16">
        <f t="array" ref="W38">IF($S38=FALSE(),"",ROUND(INDEX('Team Ratings'!$O$2:$O$73,MATCH($G38,'Team Ratings'!$A$2:$A$73,0))-INDEX('Team Ratings'!$P$2:$P$73,MATCH($H38,'Team Ratings'!$A$2:$A$73,0)),3))</f>
        <v>2.1</v>
      </c>
      <c r="X38" s="16">
        <f t="array" ref="X38">IF($S38=FALSE(),"",ROUND(INDEX('Team Ratings'!$K$2:$K$73,MATCH($G38,'Team Ratings'!$A$2:$A$73,0))-INDEX('Team Ratings'!$J$2:$J$73,MATCH($H38,'Team Ratings'!$A$2:$A$73,0)),3))</f>
        <v>1.3</v>
      </c>
      <c r="Y38" s="16">
        <f t="array" ref="Y38">IF($S38=FALSE(),"",ROUND(MAX(0,MIN(10,5+((INDEX('Team Ratings'!$L$2:$L$73,MATCH($G38,'Team Ratings'!$A$2:$A$73,0))-INDEX('Team Ratings'!$M$2:$M$73,MATCH($H38,'Team Ratings'!$A$2:$A$73,0)))+(INDEX('Team Ratings'!$M$2:$M$73,MATCH($G38,'Team Ratings'!$A$2:$A$73,0))-INDEX('Team Ratings'!$L$2:$L$73,MATCH($H38,'Team Ratings'!$A$2:$A$73,0))))/2)),3))</f>
        <v>4.8499999999999996</v>
      </c>
      <c r="Z38" s="16">
        <f t="array" ref="Z38">IF($S38=FALSE(),"",ROUND((1/I38)*4 + (INDEX('Team Ratings'!$T$2:$T$73,MATCH($G38,'Team Ratings'!$A$2:$A$73,0))/MAX('Team Ratings'!$T$2:$T$73))*4 + (1-(INDEX('Team Ratings'!$J$2:$J$73,MATCH($G38,'Team Ratings'!$A$2:$A$73,0))/MAX('Team Ratings'!$J$2:$J$73)))*2 + (INDEX('Team Ratings'!$N$2:$N$73,MATCH($G38,'Team Ratings'!$A$2:$A$73,0))/MAX('Team Ratings'!$N$2:$N$73)) + (INDEX('Team Ratings'!$M$2:$M$73,MATCH($G38,'Team Ratings'!$A$2:$A$73,0))/MAX('Team Ratings'!$M$2:$M$73)),2))</f>
        <v>10.17</v>
      </c>
      <c r="AA38" s="16">
        <f t="array" ref="AA38">IF($S38=FALSE(),"",IFERROR(INDEX('Team Ratings'!$Q$2:$Q$73,MATCH($G38,'Team Ratings'!$A$2:$A$73,0)),0))</f>
        <v>0</v>
      </c>
      <c r="AB38" s="16">
        <f t="array" ref="AB38">IF($S38=FALSE(),"",ROUND((0.75*INDEX('Team Ratings'!$G$2:$G$73,MATCH($H38,'Team Ratings'!$A$2:$A$73,0)))+(0.25*INDEX('Team Ratings'!$T$2:$T$73,MATCH($H38,'Team Ratings'!$A$2:$A$73,0))),3))</f>
        <v>20.45</v>
      </c>
      <c r="AC38" s="16">
        <f t="array" ref="AC38">IF($S38=FALSE(),"",ROUND(INDEX('Team Ratings'!$T$2:$T$73,MATCH($H38,'Team Ratings'!$A$2:$A$73,0))-INDEX('Team Ratings'!$G$2:$G$73,MATCH($H38,'Team Ratings'!$A$2:$A$73,0)),3))</f>
        <v>-1.8</v>
      </c>
      <c r="AD38" s="16">
        <f t="array" ref="AD38">IF($S38=FALSE(),"",ROUND(INDEX('Team Ratings'!$O$2:$O$73,MATCH($H38,'Team Ratings'!$A$2:$A$73,0))-INDEX('Team Ratings'!$P$2:$P$73,MATCH($G38,'Team Ratings'!$A$2:$A$73,0)),3))</f>
        <v>3.7</v>
      </c>
      <c r="AE38" s="16">
        <f t="array" ref="AE38">IF($S38=FALSE(),"",ROUND(INDEX('Team Ratings'!$K$2:$K$73,MATCH($H38,'Team Ratings'!$A$2:$A$73,0))-INDEX('Team Ratings'!$J$2:$J$73,MATCH($G38,'Team Ratings'!$A$2:$A$73,0)),3))</f>
        <v>5.5</v>
      </c>
      <c r="AF38" s="16">
        <f t="array" ref="AF38">IF($S38=FALSE(),"",ROUND(MAX(0,MIN(10,5+((INDEX('Team Ratings'!$L$2:$L$73,MATCH($H38,'Team Ratings'!$A$2:$A$73,0))-INDEX('Team Ratings'!$M$2:$M$73,MATCH($G38,'Team Ratings'!$A$2:$A$73,0)))+(INDEX('Team Ratings'!$M$2:$M$73,MATCH($H38,'Team Ratings'!$A$2:$A$73,0))-INDEX('Team Ratings'!$L$2:$L$73,MATCH($G38,'Team Ratings'!$A$2:$A$73,0))))/2)),3))</f>
        <v>5.15</v>
      </c>
      <c r="AG38" s="16">
        <f t="array" ref="AG38">IF($S38=FALSE(),"",ROUND((1/J38)*4 + (INDEX('Team Ratings'!$T$2:$T$73,MATCH($H38,'Team Ratings'!$A$2:$A$73,0))/MAX('Team Ratings'!$T$2:$T$73))*4 + (1-(INDEX('Team Ratings'!$J$2:$J$73,MATCH($H38,'Team Ratings'!$A$2:$A$73,0))/MAX('Team Ratings'!$J$2:$J$73)))*2 + (INDEX('Team Ratings'!$N$2:$N$73,MATCH($H38,'Team Ratings'!$A$2:$A$73,0))/MAX('Team Ratings'!$N$2:$N$73)) + (INDEX('Team Ratings'!$M$2:$M$73,MATCH($H38,'Team Ratings'!$A$2:$A$73,0))/MAX('Team Ratings'!$M$2:$M$73)),2))</f>
        <v>4.58</v>
      </c>
      <c r="AH38" s="16">
        <f t="array" ref="AH38">IF($S38=FALSE(),"",IFERROR(INDEX('Team Ratings'!$Q$2:$Q$73,MATCH($H38,'Team Ratings'!$A$2:$A$73,0)),0))</f>
        <v>0</v>
      </c>
      <c r="AI38" s="10" t="b">
        <f t="shared" si="14"/>
        <v>1</v>
      </c>
      <c r="AJ38" s="10"/>
      <c r="AK38" s="10" t="str">
        <f t="shared" si="15"/>
        <v>Arizona</v>
      </c>
      <c r="AL38" s="10">
        <v>9</v>
      </c>
    </row>
    <row r="39" spans="1:38" ht="20" customHeight="1" x14ac:dyDescent="0.2">
      <c r="A39" s="14" t="s">
        <v>154</v>
      </c>
      <c r="B39" s="14" t="s">
        <v>202</v>
      </c>
      <c r="C39" s="5">
        <f>_xlfn.SWITCH(B39,
 "Round 1",1,
 "Round 2",2,
 "Sweet 16",3,
 "Elite 8",4,
 "Final Four",5,
 "Championship",6
)*100
+
COUNTIF($B$2:B39,B39)</f>
        <v>206</v>
      </c>
      <c r="D39" s="5" t="s">
        <v>40</v>
      </c>
      <c r="E39" s="5" t="s">
        <v>158</v>
      </c>
      <c r="F39" s="5" t="s">
        <v>153</v>
      </c>
      <c r="G39" s="5" t="s">
        <v>44</v>
      </c>
      <c r="H39" s="5" t="s">
        <v>43</v>
      </c>
      <c r="I39" s="15">
        <f t="array" ref="I39">IFERROR(INDEX('Team Ratings'!$B$2:$B$73,MATCH($G39,'Team Ratings'!$A$2:$A$73,0)),"")</f>
        <v>5</v>
      </c>
      <c r="J39" s="15">
        <f t="array" ref="J39">IFERROR(INDEX('Team Ratings'!$B$2:$B$73,MATCH($H39,'Team Ratings'!$A$2:$A$73,0)),"")</f>
        <v>4</v>
      </c>
      <c r="K39" s="12">
        <f>IF($S39=FALSE(),"",ROUND((0.35*IFERROR((U39-AVERAGE('Team Metrics'!$X$2:$X$65))/_xlfn.STDEV.P('Team Metrics'!$X$2:$X$65),0)) + (0.2*IFERROR((V39-AVERAGE('Team Metrics'!$W$2:$W$65))/_xlfn.STDEV.P('Team Metrics'!$W$2:$W$65),0)) + (0.15*IFERROR((W39-AVERAGE('Team Metrics'!$Y$2:$Y$65))/_xlfn.STDEV.P('Team Metrics'!$Y$2:$Y$65),0)) + (0.1*IFERROR((X39-AVERAGE('Team Metrics'!$Z$2:$Z$65))/_xlfn.STDEV.P('Team Metrics'!$Z$2:$Z$65),0)) + (0.1*IFERROR((Y39-AVERAGE('Team Metrics'!$AA$2:$AA$65))/_xlfn.STDEV.P('Team Metrics'!$AA$2:$AA$65),0)) + (0.05*IFERROR((Z39-AVERAGE('Team Metrics'!$AB$2:$AB$65))/_xlfn.STDEV.P('Team Metrics'!$AB$2:$AB$65),0)) + (0.05*IFERROR((AA39-AVERAGE('Team Metrics'!$S$2:$S$65))/IF(_xlfn.STDEV.P('Team Metrics'!$S$2:$S$65)=0,1,_xlfn.STDEV.P('Team Metrics'!$S$2:$S$65)),0)),4))</f>
        <v>0.67579999999999996</v>
      </c>
      <c r="L39" s="12">
        <f>IF($S39=FALSE(),"",ROUND((0.35*IFERROR((AB39-AVERAGE('Team Metrics'!$X$2:$X$65))/_xlfn.STDEV.P('Team Metrics'!$X$2:$X$65),0)) + (0.2*IFERROR((AC39-AVERAGE('Team Metrics'!$W$2:$W$65))/_xlfn.STDEV.P('Team Metrics'!$W$2:$W$65),0)) + (0.15*IFERROR((AD39-AVERAGE('Team Metrics'!$Y$2:$Y$65))/_xlfn.STDEV.P('Team Metrics'!$Y$2:$Y$65),0)) + (0.1*IFERROR((AE39-AVERAGE('Team Metrics'!$Z$2:$Z$65))/_xlfn.STDEV.P('Team Metrics'!$Z$2:$Z$65),0)) + (0.1*IFERROR((AF39-AVERAGE('Team Metrics'!$AA$2:$AA$65))/_xlfn.STDEV.P('Team Metrics'!$AA$2:$AA$65),0)) + (0.05*IFERROR((AG39-AVERAGE('Team Metrics'!$AB$2:$AB$65))/_xlfn.STDEV.P('Team Metrics'!$AB$2:$AB$65),0)) + (0.05*IFERROR((AH39-AVERAGE('Team Metrics'!$S$2:$S$65))/IF(_xlfn.STDEV.P('Team Metrics'!$S$2:$S$65)=0,1,_xlfn.STDEV.P('Team Metrics'!$S$2:$S$65)),0)),4))</f>
        <v>0.72660000000000002</v>
      </c>
      <c r="M39" s="12">
        <f t="shared" si="8"/>
        <v>-5.0799999999999998E-2</v>
      </c>
      <c r="N39" s="10" t="str">
        <f t="shared" si="9"/>
        <v>Arkansas</v>
      </c>
      <c r="O39" s="7">
        <f t="shared" si="10"/>
        <v>50.6</v>
      </c>
      <c r="P39" s="5" t="str">
        <f t="shared" si="11"/>
        <v/>
      </c>
      <c r="Q39" s="5" t="s">
        <v>205</v>
      </c>
      <c r="R39" s="5" t="s">
        <v>132</v>
      </c>
      <c r="S39" s="10" t="b">
        <f t="shared" si="12"/>
        <v>1</v>
      </c>
      <c r="T39" s="5" t="str">
        <f t="shared" si="13"/>
        <v>ΔComposite=0.05; AdjNET Δ=1.4; 3PT Δ=-1.2; TO Δ=-0.8; REB Δ=-5.8</v>
      </c>
      <c r="U39" s="16">
        <f t="array" ref="U39">IF($S39=FALSE(),"",ROUND((0.75*INDEX('Team Ratings'!$G$2:$G$73,MATCH($G39,'Team Ratings'!$A$2:$A$73,0)))+(0.25*INDEX('Team Ratings'!$T$2:$T$73,MATCH($G39,'Team Ratings'!$A$2:$A$73,0))),3))</f>
        <v>28.45</v>
      </c>
      <c r="V39" s="16">
        <f t="array" ref="V39">IF($S39=FALSE(),"",ROUND(INDEX('Team Ratings'!$T$2:$T$73,MATCH($G39,'Team Ratings'!$A$2:$A$73,0))-INDEX('Team Ratings'!$G$2:$G$73,MATCH($G39,'Team Ratings'!$A$2:$A$73,0)),3))</f>
        <v>11.4</v>
      </c>
      <c r="W39" s="16">
        <f t="array" ref="W39">IF($S39=FALSE(),"",ROUND(INDEX('Team Ratings'!$O$2:$O$73,MATCH($G39,'Team Ratings'!$A$2:$A$73,0))-INDEX('Team Ratings'!$P$2:$P$73,MATCH($H39,'Team Ratings'!$A$2:$A$73,0)),3))</f>
        <v>4.4000000000000004</v>
      </c>
      <c r="X39" s="16">
        <f t="array" ref="X39">IF($S39=FALSE(),"",ROUND(INDEX('Team Ratings'!$K$2:$K$73,MATCH($G39,'Team Ratings'!$A$2:$A$73,0))-INDEX('Team Ratings'!$J$2:$J$73,MATCH($H39,'Team Ratings'!$A$2:$A$73,0)),3))</f>
        <v>2.1</v>
      </c>
      <c r="Y39" s="16">
        <f t="array" ref="Y39">IF($S39=FALSE(),"",ROUND(MAX(0,MIN(10,5+((INDEX('Team Ratings'!$L$2:$L$73,MATCH($G39,'Team Ratings'!$A$2:$A$73,0))-INDEX('Team Ratings'!$M$2:$M$73,MATCH($H39,'Team Ratings'!$A$2:$A$73,0)))+(INDEX('Team Ratings'!$M$2:$M$73,MATCH($G39,'Team Ratings'!$A$2:$A$73,0))-INDEX('Team Ratings'!$L$2:$L$73,MATCH($H39,'Team Ratings'!$A$2:$A$73,0))))/2)),3))</f>
        <v>2.1</v>
      </c>
      <c r="Z39" s="16">
        <f t="array" ref="Z39">IF($S39=FALSE(),"",ROUND((1/I39)*4 + (INDEX('Team Ratings'!$T$2:$T$73,MATCH($G39,'Team Ratings'!$A$2:$A$73,0))/MAX('Team Ratings'!$T$2:$T$73))*4 + (1-(INDEX('Team Ratings'!$J$2:$J$73,MATCH($G39,'Team Ratings'!$A$2:$A$73,0))/MAX('Team Ratings'!$J$2:$J$73)))*2 + (INDEX('Team Ratings'!$N$2:$N$73,MATCH($G39,'Team Ratings'!$A$2:$A$73,0))/MAX('Team Ratings'!$N$2:$N$73)) + (INDEX('Team Ratings'!$M$2:$M$73,MATCH($G39,'Team Ratings'!$A$2:$A$73,0))/MAX('Team Ratings'!$M$2:$M$73)),2))</f>
        <v>6.74</v>
      </c>
      <c r="AA39" s="16">
        <f t="array" ref="AA39">IF($S39=FALSE(),"",IFERROR(INDEX('Team Ratings'!$Q$2:$Q$73,MATCH($G39,'Team Ratings'!$A$2:$A$73,0)),0))</f>
        <v>0</v>
      </c>
      <c r="AB39" s="16">
        <f t="array" ref="AB39">IF($S39=FALSE(),"",ROUND((0.75*INDEX('Team Ratings'!$G$2:$G$73,MATCH($H39,'Team Ratings'!$A$2:$A$73,0)))+(0.25*INDEX('Team Ratings'!$T$2:$T$73,MATCH($H39,'Team Ratings'!$A$2:$A$73,0))),3))</f>
        <v>27.024999999999999</v>
      </c>
      <c r="AC39" s="16">
        <f t="array" ref="AC39">IF($S39=FALSE(),"",ROUND(INDEX('Team Ratings'!$T$2:$T$73,MATCH($H39,'Team Ratings'!$A$2:$A$73,0))-INDEX('Team Ratings'!$G$2:$G$73,MATCH($H39,'Team Ratings'!$A$2:$A$73,0)),3))</f>
        <v>2.9</v>
      </c>
      <c r="AD39" s="16">
        <f t="array" ref="AD39">IF($S39=FALSE(),"",ROUND(INDEX('Team Ratings'!$O$2:$O$73,MATCH($H39,'Team Ratings'!$A$2:$A$73,0))-INDEX('Team Ratings'!$P$2:$P$73,MATCH($G39,'Team Ratings'!$A$2:$A$73,0)),3))</f>
        <v>5.6</v>
      </c>
      <c r="AE39" s="16">
        <f t="array" ref="AE39">IF($S39=FALSE(),"",ROUND(INDEX('Team Ratings'!$K$2:$K$73,MATCH($H39,'Team Ratings'!$A$2:$A$73,0))-INDEX('Team Ratings'!$J$2:$J$73,MATCH($G39,'Team Ratings'!$A$2:$A$73,0)),3))</f>
        <v>2.9</v>
      </c>
      <c r="AF39" s="16">
        <f t="array" ref="AF39">IF($S39=FALSE(),"",ROUND(MAX(0,MIN(10,5+((INDEX('Team Ratings'!$L$2:$L$73,MATCH($H39,'Team Ratings'!$A$2:$A$73,0))-INDEX('Team Ratings'!$M$2:$M$73,MATCH($G39,'Team Ratings'!$A$2:$A$73,0)))+(INDEX('Team Ratings'!$M$2:$M$73,MATCH($H39,'Team Ratings'!$A$2:$A$73,0))-INDEX('Team Ratings'!$L$2:$L$73,MATCH($G39,'Team Ratings'!$A$2:$A$73,0))))/2)),3))</f>
        <v>7.9</v>
      </c>
      <c r="AG39" s="16">
        <f t="array" ref="AG39">IF($S39=FALSE(),"",ROUND((1/J39)*4 + (INDEX('Team Ratings'!$T$2:$T$73,MATCH($H39,'Team Ratings'!$A$2:$A$73,0))/MAX('Team Ratings'!$T$2:$T$73))*4 + (1-(INDEX('Team Ratings'!$J$2:$J$73,MATCH($H39,'Team Ratings'!$A$2:$A$73,0))/MAX('Team Ratings'!$J$2:$J$73)))*2 + (INDEX('Team Ratings'!$N$2:$N$73,MATCH($H39,'Team Ratings'!$A$2:$A$73,0))/MAX('Team Ratings'!$N$2:$N$73)) + (INDEX('Team Ratings'!$M$2:$M$73,MATCH($H39,'Team Ratings'!$A$2:$A$73,0))/MAX('Team Ratings'!$M$2:$M$73)),2))</f>
        <v>6.39</v>
      </c>
      <c r="AH39" s="16">
        <f t="array" ref="AH39">IF($S39=FALSE(),"",IFERROR(INDEX('Team Ratings'!$Q$2:$Q$73,MATCH($H39,'Team Ratings'!$A$2:$A$73,0)),0))</f>
        <v>0</v>
      </c>
      <c r="AI39" s="10" t="b">
        <f t="shared" si="14"/>
        <v>1</v>
      </c>
      <c r="AJ39" s="10"/>
      <c r="AK39" s="10" t="str">
        <f t="shared" si="15"/>
        <v>Arkansas</v>
      </c>
      <c r="AL39" s="10">
        <v>9</v>
      </c>
    </row>
    <row r="40" spans="1:38" ht="20" customHeight="1" x14ac:dyDescent="0.2">
      <c r="A40" s="14" t="s">
        <v>146</v>
      </c>
      <c r="B40" s="14" t="s">
        <v>202</v>
      </c>
      <c r="C40" s="5">
        <f>_xlfn.SWITCH(B40,
 "Round 1",1,
 "Round 2",2,
 "Sweet 16",3,
 "Elite 8",4,
 "Final Four",5,
 "Championship",6
)*100
+
COUNTIF($B$2:B40,B40)</f>
        <v>207</v>
      </c>
      <c r="D40" s="5" t="s">
        <v>40</v>
      </c>
      <c r="E40" s="5" t="s">
        <v>162</v>
      </c>
      <c r="F40" s="5" t="s">
        <v>145</v>
      </c>
      <c r="G40" s="5" t="s">
        <v>45</v>
      </c>
      <c r="H40" s="5" t="s">
        <v>42</v>
      </c>
      <c r="I40" s="15">
        <f t="array" ref="I40">IFERROR(INDEX('Team Ratings'!$B$2:$B$73,MATCH($G40,'Team Ratings'!$A$2:$A$73,0)),"")</f>
        <v>6</v>
      </c>
      <c r="J40" s="15">
        <f t="array" ref="J40">IFERROR(INDEX('Team Ratings'!$B$2:$B$73,MATCH($H40,'Team Ratings'!$A$2:$A$73,0)),"")</f>
        <v>3</v>
      </c>
      <c r="K40" s="12">
        <f>IF($S40=FALSE(),"",ROUND((0.35*IFERROR((U40-AVERAGE('Team Metrics'!$X$2:$X$65))/_xlfn.STDEV.P('Team Metrics'!$X$2:$X$65),0)) + (0.2*IFERROR((V40-AVERAGE('Team Metrics'!$W$2:$W$65))/_xlfn.STDEV.P('Team Metrics'!$W$2:$W$65),0)) + (0.15*IFERROR((W40-AVERAGE('Team Metrics'!$Y$2:$Y$65))/_xlfn.STDEV.P('Team Metrics'!$Y$2:$Y$65),0)) + (0.1*IFERROR((X40-AVERAGE('Team Metrics'!$Z$2:$Z$65))/_xlfn.STDEV.P('Team Metrics'!$Z$2:$Z$65),0)) + (0.1*IFERROR((Y40-AVERAGE('Team Metrics'!$AA$2:$AA$65))/_xlfn.STDEV.P('Team Metrics'!$AA$2:$AA$65),0)) + (0.05*IFERROR((Z40-AVERAGE('Team Metrics'!$AB$2:$AB$65))/_xlfn.STDEV.P('Team Metrics'!$AB$2:$AB$65),0)) + (0.05*IFERROR((AA40-AVERAGE('Team Metrics'!$S$2:$S$65))/IF(_xlfn.STDEV.P('Team Metrics'!$S$2:$S$65)=0,1,_xlfn.STDEV.P('Team Metrics'!$S$2:$S$65)),0)),4))</f>
        <v>0.27629999999999999</v>
      </c>
      <c r="L40" s="12">
        <f>IF($S40=FALSE(),"",ROUND((0.35*IFERROR((AB40-AVERAGE('Team Metrics'!$X$2:$X$65))/_xlfn.STDEV.P('Team Metrics'!$X$2:$X$65),0)) + (0.2*IFERROR((AC40-AVERAGE('Team Metrics'!$W$2:$W$65))/_xlfn.STDEV.P('Team Metrics'!$W$2:$W$65),0)) + (0.15*IFERROR((AD40-AVERAGE('Team Metrics'!$Y$2:$Y$65))/_xlfn.STDEV.P('Team Metrics'!$Y$2:$Y$65),0)) + (0.1*IFERROR((AE40-AVERAGE('Team Metrics'!$Z$2:$Z$65))/_xlfn.STDEV.P('Team Metrics'!$Z$2:$Z$65),0)) + (0.1*IFERROR((AF40-AVERAGE('Team Metrics'!$AA$2:$AA$65))/_xlfn.STDEV.P('Team Metrics'!$AA$2:$AA$65),0)) + (0.05*IFERROR((AG40-AVERAGE('Team Metrics'!$AB$2:$AB$65))/_xlfn.STDEV.P('Team Metrics'!$AB$2:$AB$65),0)) + (0.05*IFERROR((AH40-AVERAGE('Team Metrics'!$S$2:$S$65))/IF(_xlfn.STDEV.P('Team Metrics'!$S$2:$S$65)=0,1,_xlfn.STDEV.P('Team Metrics'!$S$2:$S$65)),0)),4))</f>
        <v>7.6100000000000001E-2</v>
      </c>
      <c r="M40" s="12">
        <f t="shared" si="8"/>
        <v>0.20019999999999999</v>
      </c>
      <c r="N40" s="10" t="str">
        <f t="shared" si="9"/>
        <v>BYU</v>
      </c>
      <c r="O40" s="7">
        <f t="shared" si="10"/>
        <v>52.4</v>
      </c>
      <c r="P40" s="5" t="str">
        <f t="shared" si="11"/>
        <v>UPSET</v>
      </c>
      <c r="Q40" s="5" t="s">
        <v>206</v>
      </c>
      <c r="R40" s="5" t="s">
        <v>123</v>
      </c>
      <c r="S40" s="10" t="b">
        <f t="shared" si="12"/>
        <v>1</v>
      </c>
      <c r="T40" s="5" t="str">
        <f t="shared" si="13"/>
        <v>ΔComposite=0.2; AdjNET Δ=-5.5; 3PT Δ=5.4; TO Δ=-2.4; REB Δ=3.2</v>
      </c>
      <c r="U40" s="16">
        <f t="array" ref="U40">IF($S40=FALSE(),"",ROUND((0.75*INDEX('Team Ratings'!$G$2:$G$73,MATCH($G40,'Team Ratings'!$A$2:$A$73,0)))+(0.25*INDEX('Team Ratings'!$T$2:$T$73,MATCH($G40,'Team Ratings'!$A$2:$A$73,0))),3))</f>
        <v>20.574999999999999</v>
      </c>
      <c r="V40" s="16">
        <f t="array" ref="V40">IF($S40=FALSE(),"",ROUND(INDEX('Team Ratings'!$T$2:$T$73,MATCH($G40,'Team Ratings'!$A$2:$A$73,0))-INDEX('Team Ratings'!$G$2:$G$73,MATCH($G40,'Team Ratings'!$A$2:$A$73,0)),3))</f>
        <v>0.3</v>
      </c>
      <c r="W40" s="16">
        <f t="array" ref="W40">IF($S40=FALSE(),"",ROUND(INDEX('Team Ratings'!$O$2:$O$73,MATCH($G40,'Team Ratings'!$A$2:$A$73,0))-INDEX('Team Ratings'!$P$2:$P$73,MATCH($H40,'Team Ratings'!$A$2:$A$73,0)),3))</f>
        <v>4.0999999999999996</v>
      </c>
      <c r="X40" s="16">
        <f t="array" ref="X40">IF($S40=FALSE(),"",ROUND(INDEX('Team Ratings'!$K$2:$K$73,MATCH($G40,'Team Ratings'!$A$2:$A$73,0))-INDEX('Team Ratings'!$J$2:$J$73,MATCH($H40,'Team Ratings'!$A$2:$A$73,0)),3))</f>
        <v>2.8</v>
      </c>
      <c r="Y40" s="16">
        <f t="array" ref="Y40">IF($S40=FALSE(),"",ROUND(MAX(0,MIN(10,5+((INDEX('Team Ratings'!$L$2:$L$73,MATCH($G40,'Team Ratings'!$A$2:$A$73,0))-INDEX('Team Ratings'!$M$2:$M$73,MATCH($H40,'Team Ratings'!$A$2:$A$73,0)))+(INDEX('Team Ratings'!$M$2:$M$73,MATCH($G40,'Team Ratings'!$A$2:$A$73,0))-INDEX('Team Ratings'!$L$2:$L$73,MATCH($H40,'Team Ratings'!$A$2:$A$73,0))))/2)),3))</f>
        <v>6.6</v>
      </c>
      <c r="Z40" s="16">
        <f t="array" ref="Z40">IF($S40=FALSE(),"",ROUND((1/I40)*4 + (INDEX('Team Ratings'!$T$2:$T$73,MATCH($G40,'Team Ratings'!$A$2:$A$73,0))/MAX('Team Ratings'!$T$2:$T$73))*4 + (1-(INDEX('Team Ratings'!$J$2:$J$73,MATCH($G40,'Team Ratings'!$A$2:$A$73,0))/MAX('Team Ratings'!$J$2:$J$73)))*2 + (INDEX('Team Ratings'!$N$2:$N$73,MATCH($G40,'Team Ratings'!$A$2:$A$73,0))/MAX('Team Ratings'!$N$2:$N$73)) + (INDEX('Team Ratings'!$M$2:$M$73,MATCH($G40,'Team Ratings'!$A$2:$A$73,0))/MAX('Team Ratings'!$M$2:$M$73)),2))</f>
        <v>4.8</v>
      </c>
      <c r="AA40" s="16">
        <f t="array" ref="AA40">IF($S40=FALSE(),"",IFERROR(INDEX('Team Ratings'!$Q$2:$Q$73,MATCH($G40,'Team Ratings'!$A$2:$A$73,0)),0))</f>
        <v>0</v>
      </c>
      <c r="AB40" s="16">
        <f t="array" ref="AB40">IF($S40=FALSE(),"",ROUND((0.75*INDEX('Team Ratings'!$G$2:$G$73,MATCH($H40,'Team Ratings'!$A$2:$A$73,0)))+(0.25*INDEX('Team Ratings'!$T$2:$T$73,MATCH($H40,'Team Ratings'!$A$2:$A$73,0))),3))</f>
        <v>26.05</v>
      </c>
      <c r="AC40" s="16">
        <f t="array" ref="AC40">IF($S40=FALSE(),"",ROUND(INDEX('Team Ratings'!$T$2:$T$73,MATCH($H40,'Team Ratings'!$A$2:$A$73,0))-INDEX('Team Ratings'!$G$2:$G$73,MATCH($H40,'Team Ratings'!$A$2:$A$73,0)),3))</f>
        <v>-1</v>
      </c>
      <c r="AD40" s="16">
        <f t="array" ref="AD40">IF($S40=FALSE(),"",ROUND(INDEX('Team Ratings'!$O$2:$O$73,MATCH($H40,'Team Ratings'!$A$2:$A$73,0))-INDEX('Team Ratings'!$P$2:$P$73,MATCH($G40,'Team Ratings'!$A$2:$A$73,0)),3))</f>
        <v>-1.3</v>
      </c>
      <c r="AE40" s="16">
        <f t="array" ref="AE40">IF($S40=FALSE(),"",ROUND(INDEX('Team Ratings'!$K$2:$K$73,MATCH($H40,'Team Ratings'!$A$2:$A$73,0))-INDEX('Team Ratings'!$J$2:$J$73,MATCH($G40,'Team Ratings'!$A$2:$A$73,0)),3))</f>
        <v>5.2</v>
      </c>
      <c r="AF40" s="16">
        <f t="array" ref="AF40">IF($S40=FALSE(),"",ROUND(MAX(0,MIN(10,5+((INDEX('Team Ratings'!$L$2:$L$73,MATCH($H40,'Team Ratings'!$A$2:$A$73,0))-INDEX('Team Ratings'!$M$2:$M$73,MATCH($G40,'Team Ratings'!$A$2:$A$73,0)))+(INDEX('Team Ratings'!$M$2:$M$73,MATCH($H40,'Team Ratings'!$A$2:$A$73,0))-INDEX('Team Ratings'!$L$2:$L$73,MATCH($G40,'Team Ratings'!$A$2:$A$73,0))))/2)),3))</f>
        <v>3.4</v>
      </c>
      <c r="AG40" s="16">
        <f t="array" ref="AG40">IF($S40=FALSE(),"",ROUND((1/J40)*4 + (INDEX('Team Ratings'!$T$2:$T$73,MATCH($H40,'Team Ratings'!$A$2:$A$73,0))/MAX('Team Ratings'!$T$2:$T$73))*4 + (1-(INDEX('Team Ratings'!$J$2:$J$73,MATCH($H40,'Team Ratings'!$A$2:$A$73,0))/MAX('Team Ratings'!$J$2:$J$73)))*2 + (INDEX('Team Ratings'!$N$2:$N$73,MATCH($H40,'Team Ratings'!$A$2:$A$73,0))/MAX('Team Ratings'!$N$2:$N$73)) + (INDEX('Team Ratings'!$M$2:$M$73,MATCH($H40,'Team Ratings'!$A$2:$A$73,0))/MAX('Team Ratings'!$M$2:$M$73)),2))</f>
        <v>5.92</v>
      </c>
      <c r="AH40" s="16">
        <f t="array" ref="AH40">IF($S40=FALSE(),"",IFERROR(INDEX('Team Ratings'!$Q$2:$Q$73,MATCH($H40,'Team Ratings'!$A$2:$A$73,0)),0))</f>
        <v>0</v>
      </c>
      <c r="AI40" s="10" t="b">
        <f t="shared" si="14"/>
        <v>1</v>
      </c>
      <c r="AJ40" s="10"/>
      <c r="AK40" s="10" t="str">
        <f t="shared" si="15"/>
        <v>BYU</v>
      </c>
      <c r="AL40" s="10">
        <v>9</v>
      </c>
    </row>
    <row r="41" spans="1:38" ht="20" customHeight="1" x14ac:dyDescent="0.2">
      <c r="A41" s="14" t="s">
        <v>138</v>
      </c>
      <c r="B41" s="14" t="s">
        <v>202</v>
      </c>
      <c r="C41" s="5">
        <f>_xlfn.SWITCH(B41,
 "Round 1",1,
 "Round 2",2,
 "Sweet 16",3,
 "Elite 8",4,
 "Final Four",5,
 "Championship",6
)*100
+
COUNTIF($B$2:B41,B41)</f>
        <v>208</v>
      </c>
      <c r="D41" s="5" t="s">
        <v>40</v>
      </c>
      <c r="E41" s="5" t="s">
        <v>166</v>
      </c>
      <c r="F41" s="5" t="s">
        <v>137</v>
      </c>
      <c r="G41" s="5" t="s">
        <v>46</v>
      </c>
      <c r="H41" s="5" t="s">
        <v>41</v>
      </c>
      <c r="I41" s="15">
        <f t="array" ref="I41">IFERROR(INDEX('Team Ratings'!$B$2:$B$73,MATCH($G41,'Team Ratings'!$A$2:$A$73,0)),"")</f>
        <v>7</v>
      </c>
      <c r="J41" s="15">
        <f t="array" ref="J41">IFERROR(INDEX('Team Ratings'!$B$2:$B$73,MATCH($H41,'Team Ratings'!$A$2:$A$73,0)),"")</f>
        <v>2</v>
      </c>
      <c r="K41" s="12">
        <f>IF($S41=FALSE(),"",ROUND((0.35*IFERROR((U41-AVERAGE('Team Metrics'!$X$2:$X$65))/_xlfn.STDEV.P('Team Metrics'!$X$2:$X$65),0)) + (0.2*IFERROR((V41-AVERAGE('Team Metrics'!$W$2:$W$65))/_xlfn.STDEV.P('Team Metrics'!$W$2:$W$65),0)) + (0.15*IFERROR((W41-AVERAGE('Team Metrics'!$Y$2:$Y$65))/_xlfn.STDEV.P('Team Metrics'!$Y$2:$Y$65),0)) + (0.1*IFERROR((X41-AVERAGE('Team Metrics'!$Z$2:$Z$65))/_xlfn.STDEV.P('Team Metrics'!$Z$2:$Z$65),0)) + (0.1*IFERROR((Y41-AVERAGE('Team Metrics'!$AA$2:$AA$65))/_xlfn.STDEV.P('Team Metrics'!$AA$2:$AA$65),0)) + (0.05*IFERROR((Z41-AVERAGE('Team Metrics'!$AB$2:$AB$65))/_xlfn.STDEV.P('Team Metrics'!$AB$2:$AB$65),0)) + (0.05*IFERROR((AA41-AVERAGE('Team Metrics'!$S$2:$S$65))/IF(_xlfn.STDEV.P('Team Metrics'!$S$2:$S$65)=0,1,_xlfn.STDEV.P('Team Metrics'!$S$2:$S$65)),0)),4))</f>
        <v>6.1800000000000001E-2</v>
      </c>
      <c r="L41" s="12">
        <f>IF($S41=FALSE(),"",ROUND((0.35*IFERROR((AB41-AVERAGE('Team Metrics'!$X$2:$X$65))/_xlfn.STDEV.P('Team Metrics'!$X$2:$X$65),0)) + (0.2*IFERROR((AC41-AVERAGE('Team Metrics'!$W$2:$W$65))/_xlfn.STDEV.P('Team Metrics'!$W$2:$W$65),0)) + (0.15*IFERROR((AD41-AVERAGE('Team Metrics'!$Y$2:$Y$65))/_xlfn.STDEV.P('Team Metrics'!$Y$2:$Y$65),0)) + (0.1*IFERROR((AE41-AVERAGE('Team Metrics'!$Z$2:$Z$65))/_xlfn.STDEV.P('Team Metrics'!$Z$2:$Z$65),0)) + (0.1*IFERROR((AF41-AVERAGE('Team Metrics'!$AA$2:$AA$65))/_xlfn.STDEV.P('Team Metrics'!$AA$2:$AA$65),0)) + (0.05*IFERROR((AG41-AVERAGE('Team Metrics'!$AB$2:$AB$65))/_xlfn.STDEV.P('Team Metrics'!$AB$2:$AB$65),0)) + (0.05*IFERROR((AH41-AVERAGE('Team Metrics'!$S$2:$S$65))/IF(_xlfn.STDEV.P('Team Metrics'!$S$2:$S$65)=0,1,_xlfn.STDEV.P('Team Metrics'!$S$2:$S$65)),0)),4))</f>
        <v>0.52200000000000002</v>
      </c>
      <c r="M41" s="12">
        <f t="shared" si="8"/>
        <v>-0.4602</v>
      </c>
      <c r="N41" s="10" t="str">
        <f t="shared" si="9"/>
        <v>Purdue</v>
      </c>
      <c r="O41" s="7">
        <f t="shared" si="10"/>
        <v>55.5</v>
      </c>
      <c r="P41" s="5" t="str">
        <f t="shared" si="11"/>
        <v/>
      </c>
      <c r="Q41" s="5" t="s">
        <v>206</v>
      </c>
      <c r="R41" s="5" t="s">
        <v>132</v>
      </c>
      <c r="S41" s="10" t="b">
        <f t="shared" si="12"/>
        <v>1</v>
      </c>
      <c r="T41" s="5" t="str">
        <f t="shared" si="13"/>
        <v>ΔComposite=0.46; AdjNET Δ=-13.7; 3PT Δ=-2; TO Δ=5.5; REB Δ=0.6</v>
      </c>
      <c r="U41" s="16">
        <f t="array" ref="U41">IF($S41=FALSE(),"",ROUND((0.75*INDEX('Team Ratings'!$G$2:$G$73,MATCH($G41,'Team Ratings'!$A$2:$A$73,0)))+(0.25*INDEX('Team Ratings'!$T$2:$T$73,MATCH($G41,'Team Ratings'!$A$2:$A$73,0))),3))</f>
        <v>19.850000000000001</v>
      </c>
      <c r="V41" s="16">
        <f t="array" ref="V41">IF($S41=FALSE(),"",ROUND(INDEX('Team Ratings'!$T$2:$T$73,MATCH($G41,'Team Ratings'!$A$2:$A$73,0))-INDEX('Team Ratings'!$G$2:$G$73,MATCH($G41,'Team Ratings'!$A$2:$A$73,0)),3))</f>
        <v>1</v>
      </c>
      <c r="W41" s="16">
        <f t="array" ref="W41">IF($S41=FALSE(),"",ROUND(INDEX('Team Ratings'!$O$2:$O$73,MATCH($G41,'Team Ratings'!$A$2:$A$73,0))-INDEX('Team Ratings'!$P$2:$P$73,MATCH($H41,'Team Ratings'!$A$2:$A$73,0)),3))</f>
        <v>0.5</v>
      </c>
      <c r="X41" s="16">
        <f t="array" ref="X41">IF($S41=FALSE(),"",ROUND(INDEX('Team Ratings'!$K$2:$K$73,MATCH($G41,'Team Ratings'!$A$2:$A$73,0))-INDEX('Team Ratings'!$J$2:$J$73,MATCH($H41,'Team Ratings'!$A$2:$A$73,0)),3))</f>
        <v>4.9000000000000004</v>
      </c>
      <c r="Y41" s="16">
        <f t="array" ref="Y41">IF($S41=FALSE(),"",ROUND(MAX(0,MIN(10,5+((INDEX('Team Ratings'!$L$2:$L$73,MATCH($G41,'Team Ratings'!$A$2:$A$73,0))-INDEX('Team Ratings'!$M$2:$M$73,MATCH($H41,'Team Ratings'!$A$2:$A$73,0)))+(INDEX('Team Ratings'!$M$2:$M$73,MATCH($G41,'Team Ratings'!$A$2:$A$73,0))-INDEX('Team Ratings'!$L$2:$L$73,MATCH($H41,'Team Ratings'!$A$2:$A$73,0))))/2)),3))</f>
        <v>5.3</v>
      </c>
      <c r="Z41" s="16">
        <f t="array" ref="Z41">IF($S41=FALSE(),"",ROUND((1/I41)*4 + (INDEX('Team Ratings'!$T$2:$T$73,MATCH($G41,'Team Ratings'!$A$2:$A$73,0))/MAX('Team Ratings'!$T$2:$T$73))*4 + (1-(INDEX('Team Ratings'!$J$2:$J$73,MATCH($G41,'Team Ratings'!$A$2:$A$73,0))/MAX('Team Ratings'!$J$2:$J$73)))*2 + (INDEX('Team Ratings'!$N$2:$N$73,MATCH($G41,'Team Ratings'!$A$2:$A$73,0))/MAX('Team Ratings'!$N$2:$N$73)) + (INDEX('Team Ratings'!$M$2:$M$73,MATCH($G41,'Team Ratings'!$A$2:$A$73,0))/MAX('Team Ratings'!$M$2:$M$73)),2))</f>
        <v>4.58</v>
      </c>
      <c r="AA41" s="16">
        <f t="array" ref="AA41">IF($S41=FALSE(),"",IFERROR(INDEX('Team Ratings'!$Q$2:$Q$73,MATCH($G41,'Team Ratings'!$A$2:$A$73,0)),0))</f>
        <v>0</v>
      </c>
      <c r="AB41" s="16">
        <f t="array" ref="AB41">IF($S41=FALSE(),"",ROUND((0.75*INDEX('Team Ratings'!$G$2:$G$73,MATCH($H41,'Team Ratings'!$A$2:$A$73,0)))+(0.25*INDEX('Team Ratings'!$T$2:$T$73,MATCH($H41,'Team Ratings'!$A$2:$A$73,0))),3))</f>
        <v>33.549999999999997</v>
      </c>
      <c r="AC41" s="16">
        <f t="array" ref="AC41">IF($S41=FALSE(),"",ROUND(INDEX('Team Ratings'!$T$2:$T$73,MATCH($H41,'Team Ratings'!$A$2:$A$73,0))-INDEX('Team Ratings'!$G$2:$G$73,MATCH($H41,'Team Ratings'!$A$2:$A$73,0)),3))</f>
        <v>2.2000000000000002</v>
      </c>
      <c r="AD41" s="16">
        <f t="array" ref="AD41">IF($S41=FALSE(),"",ROUND(INDEX('Team Ratings'!$O$2:$O$73,MATCH($H41,'Team Ratings'!$A$2:$A$73,0))-INDEX('Team Ratings'!$P$2:$P$73,MATCH($G41,'Team Ratings'!$A$2:$A$73,0)),3))</f>
        <v>2.5</v>
      </c>
      <c r="AE41" s="16">
        <f t="array" ref="AE41">IF($S41=FALSE(),"",ROUND(INDEX('Team Ratings'!$K$2:$K$73,MATCH($H41,'Team Ratings'!$A$2:$A$73,0))-INDEX('Team Ratings'!$J$2:$J$73,MATCH($G41,'Team Ratings'!$A$2:$A$73,0)),3))</f>
        <v>-0.6</v>
      </c>
      <c r="AF41" s="16">
        <f t="array" ref="AF41">IF($S41=FALSE(),"",ROUND(MAX(0,MIN(10,5+((INDEX('Team Ratings'!$L$2:$L$73,MATCH($H41,'Team Ratings'!$A$2:$A$73,0))-INDEX('Team Ratings'!$M$2:$M$73,MATCH($G41,'Team Ratings'!$A$2:$A$73,0)))+(INDEX('Team Ratings'!$M$2:$M$73,MATCH($H41,'Team Ratings'!$A$2:$A$73,0))-INDEX('Team Ratings'!$L$2:$L$73,MATCH($G41,'Team Ratings'!$A$2:$A$73,0))))/2)),3))</f>
        <v>4.7</v>
      </c>
      <c r="AG41" s="16">
        <f t="array" ref="AG41">IF($S41=FALSE(),"",ROUND((1/J41)*4 + (INDEX('Team Ratings'!$T$2:$T$73,MATCH($H41,'Team Ratings'!$A$2:$A$73,0))/MAX('Team Ratings'!$T$2:$T$73))*4 + (1-(INDEX('Team Ratings'!$J$2:$J$73,MATCH($H41,'Team Ratings'!$A$2:$A$73,0))/MAX('Team Ratings'!$J$2:$J$73)))*2 + (INDEX('Team Ratings'!$N$2:$N$73,MATCH($H41,'Team Ratings'!$A$2:$A$73,0))/MAX('Team Ratings'!$N$2:$N$73)) + (INDEX('Team Ratings'!$M$2:$M$73,MATCH($H41,'Team Ratings'!$A$2:$A$73,0))/MAX('Team Ratings'!$M$2:$M$73)),2))</f>
        <v>7.57</v>
      </c>
      <c r="AH41" s="16">
        <f t="array" ref="AH41">IF($S41=FALSE(),"",IFERROR(INDEX('Team Ratings'!$Q$2:$Q$73,MATCH($H41,'Team Ratings'!$A$2:$A$73,0)),0))</f>
        <v>0</v>
      </c>
      <c r="AI41" s="10" t="b">
        <f t="shared" si="14"/>
        <v>1</v>
      </c>
      <c r="AJ41" s="10"/>
      <c r="AK41" s="10" t="str">
        <f t="shared" si="15"/>
        <v>Purdue</v>
      </c>
      <c r="AL41" s="10">
        <v>9</v>
      </c>
    </row>
    <row r="42" spans="1:38" ht="20" customHeight="1" x14ac:dyDescent="0.2">
      <c r="A42" s="14" t="s">
        <v>127</v>
      </c>
      <c r="B42" s="14" t="s">
        <v>202</v>
      </c>
      <c r="C42" s="5">
        <f>_xlfn.SWITCH(B42,
 "Round 1",1,
 "Round 2",2,
 "Sweet 16",3,
 "Elite 8",4,
 "Final Four",5,
 "Championship",6
)*100
+
COUNTIF($B$2:B42,B42)</f>
        <v>209</v>
      </c>
      <c r="D42" s="5" t="s">
        <v>60</v>
      </c>
      <c r="E42" s="5" t="s">
        <v>126</v>
      </c>
      <c r="F42" s="5" t="s">
        <v>169</v>
      </c>
      <c r="G42" s="5" t="s">
        <v>59</v>
      </c>
      <c r="H42" s="5" t="s">
        <v>68</v>
      </c>
      <c r="I42" s="15">
        <f t="array" ref="I42">IFERROR(INDEX('Team Ratings'!$B$2:$B$73,MATCH($G42,'Team Ratings'!$A$2:$A$73,0)),"")</f>
        <v>1</v>
      </c>
      <c r="J42" s="15">
        <f t="array" ref="J42">IFERROR(INDEX('Team Ratings'!$B$2:$B$73,MATCH($H42,'Team Ratings'!$A$2:$A$73,0)),"")</f>
        <v>9</v>
      </c>
      <c r="K42" s="12">
        <f>IF($S42=FALSE(),"",ROUND((0.35*IFERROR((U42-AVERAGE('Team Metrics'!$X$2:$X$65))/_xlfn.STDEV.P('Team Metrics'!$X$2:$X$65),0)) + (0.2*IFERROR((V42-AVERAGE('Team Metrics'!$W$2:$W$65))/_xlfn.STDEV.P('Team Metrics'!$W$2:$W$65),0)) + (0.15*IFERROR((W42-AVERAGE('Team Metrics'!$Y$2:$Y$65))/_xlfn.STDEV.P('Team Metrics'!$Y$2:$Y$65),0)) + (0.1*IFERROR((X42-AVERAGE('Team Metrics'!$Z$2:$Z$65))/_xlfn.STDEV.P('Team Metrics'!$Z$2:$Z$65),0)) + (0.1*IFERROR((Y42-AVERAGE('Team Metrics'!$AA$2:$AA$65))/_xlfn.STDEV.P('Team Metrics'!$AA$2:$AA$65),0)) + (0.05*IFERROR((Z42-AVERAGE('Team Metrics'!$AB$2:$AB$65))/_xlfn.STDEV.P('Team Metrics'!$AB$2:$AB$65),0)) + (0.05*IFERROR((AA42-AVERAGE('Team Metrics'!$S$2:$S$65))/IF(_xlfn.STDEV.P('Team Metrics'!$S$2:$S$65)=0,1,_xlfn.STDEV.P('Team Metrics'!$S$2:$S$65)),0)),4))</f>
        <v>0.20519999999999999</v>
      </c>
      <c r="L42" s="12">
        <f>IF($S42=FALSE(),"",ROUND((0.35*IFERROR((AB42-AVERAGE('Team Metrics'!$X$2:$X$65))/_xlfn.STDEV.P('Team Metrics'!$X$2:$X$65),0)) + (0.2*IFERROR((AC42-AVERAGE('Team Metrics'!$W$2:$W$65))/_xlfn.STDEV.P('Team Metrics'!$W$2:$W$65),0)) + (0.15*IFERROR((AD42-AVERAGE('Team Metrics'!$Y$2:$Y$65))/_xlfn.STDEV.P('Team Metrics'!$Y$2:$Y$65),0)) + (0.1*IFERROR((AE42-AVERAGE('Team Metrics'!$Z$2:$Z$65))/_xlfn.STDEV.P('Team Metrics'!$Z$2:$Z$65),0)) + (0.1*IFERROR((AF42-AVERAGE('Team Metrics'!$AA$2:$AA$65))/_xlfn.STDEV.P('Team Metrics'!$AA$2:$AA$65),0)) + (0.05*IFERROR((AG42-AVERAGE('Team Metrics'!$AB$2:$AB$65))/_xlfn.STDEV.P('Team Metrics'!$AB$2:$AB$65),0)) + (0.05*IFERROR((AH42-AVERAGE('Team Metrics'!$S$2:$S$65))/IF(_xlfn.STDEV.P('Team Metrics'!$S$2:$S$65)=0,1,_xlfn.STDEV.P('Team Metrics'!$S$2:$S$65)),0)),4))</f>
        <v>1.8100000000000002E-2</v>
      </c>
      <c r="M42" s="12">
        <f t="shared" si="8"/>
        <v>0.18709999999999999</v>
      </c>
      <c r="N42" s="10" t="str">
        <f t="shared" si="9"/>
        <v>Florida</v>
      </c>
      <c r="O42" s="7">
        <f t="shared" si="10"/>
        <v>52.2</v>
      </c>
      <c r="P42" s="5" t="str">
        <f t="shared" si="11"/>
        <v/>
      </c>
      <c r="Q42" s="5" t="s">
        <v>207</v>
      </c>
      <c r="R42" s="5" t="s">
        <v>123</v>
      </c>
      <c r="S42" s="10" t="b">
        <f t="shared" si="12"/>
        <v>1</v>
      </c>
      <c r="T42" s="5" t="str">
        <f t="shared" si="13"/>
        <v>ΔComposite=0.19; AdjNET Δ=11; 3PT Δ=-6.2; TO Δ=-4.3; REB Δ=9.9</v>
      </c>
      <c r="U42" s="16">
        <f t="array" ref="U42">IF($S42=FALSE(),"",ROUND((0.75*INDEX('Team Ratings'!$G$2:$G$73,MATCH($G42,'Team Ratings'!$A$2:$A$73,0)))+(0.25*INDEX('Team Ratings'!$T$2:$T$73,MATCH($G42,'Team Ratings'!$A$2:$A$73,0))),3))</f>
        <v>32.424999999999997</v>
      </c>
      <c r="V42" s="16">
        <f t="array" ref="V42">IF($S42=FALSE(),"",ROUND(INDEX('Team Ratings'!$T$2:$T$73,MATCH($G42,'Team Ratings'!$A$2:$A$73,0))-INDEX('Team Ratings'!$G$2:$G$73,MATCH($G42,'Team Ratings'!$A$2:$A$73,0)),3))</f>
        <v>-5.5</v>
      </c>
      <c r="W42" s="16">
        <f t="array" ref="W42">IF($S42=FALSE(),"",ROUND(INDEX('Team Ratings'!$O$2:$O$73,MATCH($G42,'Team Ratings'!$A$2:$A$73,0))-INDEX('Team Ratings'!$P$2:$P$73,MATCH($H42,'Team Ratings'!$A$2:$A$73,0)),3))</f>
        <v>-2.9</v>
      </c>
      <c r="X42" s="16">
        <f t="array" ref="X42">IF($S42=FALSE(),"",ROUND(INDEX('Team Ratings'!$K$2:$K$73,MATCH($G42,'Team Ratings'!$A$2:$A$73,0))-INDEX('Team Ratings'!$J$2:$J$73,MATCH($H42,'Team Ratings'!$A$2:$A$73,0)),3))</f>
        <v>0.2</v>
      </c>
      <c r="Y42" s="16">
        <f t="array" ref="Y42">IF($S42=FALSE(),"",ROUND(MAX(0,MIN(10,5+((INDEX('Team Ratings'!$L$2:$L$73,MATCH($G42,'Team Ratings'!$A$2:$A$73,0))-INDEX('Team Ratings'!$M$2:$M$73,MATCH($H42,'Team Ratings'!$A$2:$A$73,0)))+(INDEX('Team Ratings'!$M$2:$M$73,MATCH($G42,'Team Ratings'!$A$2:$A$73,0))-INDEX('Team Ratings'!$L$2:$L$73,MATCH($H42,'Team Ratings'!$A$2:$A$73,0))))/2)),3))</f>
        <v>9.9499999999999993</v>
      </c>
      <c r="Z42" s="16">
        <f t="array" ref="Z42">IF($S42=FALSE(),"",ROUND((1/I42)*4 + (INDEX('Team Ratings'!$T$2:$T$73,MATCH($G42,'Team Ratings'!$A$2:$A$73,0))/MAX('Team Ratings'!$T$2:$T$73))*4 + (1-(INDEX('Team Ratings'!$J$2:$J$73,MATCH($G42,'Team Ratings'!$A$2:$A$73,0))/MAX('Team Ratings'!$J$2:$J$73)))*2 + (INDEX('Team Ratings'!$N$2:$N$73,MATCH($G42,'Team Ratings'!$A$2:$A$73,0))/MAX('Team Ratings'!$N$2:$N$73)) + (INDEX('Team Ratings'!$M$2:$M$73,MATCH($G42,'Team Ratings'!$A$2:$A$73,0))/MAX('Team Ratings'!$M$2:$M$73)),2))</f>
        <v>8.75</v>
      </c>
      <c r="AA42" s="16">
        <f t="array" ref="AA42">IF($S42=FALSE(),"",IFERROR(INDEX('Team Ratings'!$Q$2:$Q$73,MATCH($G42,'Team Ratings'!$A$2:$A$73,0)),0))</f>
        <v>0</v>
      </c>
      <c r="AB42" s="16">
        <f t="array" ref="AB42">IF($S42=FALSE(),"",ROUND((0.75*INDEX('Team Ratings'!$G$2:$G$73,MATCH($H42,'Team Ratings'!$A$2:$A$73,0)))+(0.25*INDEX('Team Ratings'!$T$2:$T$73,MATCH($H42,'Team Ratings'!$A$2:$A$73,0))),3))</f>
        <v>21.4</v>
      </c>
      <c r="AC42" s="16">
        <f t="array" ref="AC42">IF($S42=FALSE(),"",ROUND(INDEX('Team Ratings'!$T$2:$T$73,MATCH($H42,'Team Ratings'!$A$2:$A$73,0))-INDEX('Team Ratings'!$G$2:$G$73,MATCH($H42,'Team Ratings'!$A$2:$A$73,0)),3))</f>
        <v>-2</v>
      </c>
      <c r="AD42" s="16">
        <f t="array" ref="AD42">IF($S42=FALSE(),"",ROUND(INDEX('Team Ratings'!$O$2:$O$73,MATCH($H42,'Team Ratings'!$A$2:$A$73,0))-INDEX('Team Ratings'!$P$2:$P$73,MATCH($G42,'Team Ratings'!$A$2:$A$73,0)),3))</f>
        <v>3.3</v>
      </c>
      <c r="AE42" s="16">
        <f t="array" ref="AE42">IF($S42=FALSE(),"",ROUND(INDEX('Team Ratings'!$K$2:$K$73,MATCH($H42,'Team Ratings'!$A$2:$A$73,0))-INDEX('Team Ratings'!$J$2:$J$73,MATCH($G42,'Team Ratings'!$A$2:$A$73,0)),3))</f>
        <v>4.5</v>
      </c>
      <c r="AF42" s="16">
        <f t="array" ref="AF42">IF($S42=FALSE(),"",ROUND(MAX(0,MIN(10,5+((INDEX('Team Ratings'!$L$2:$L$73,MATCH($H42,'Team Ratings'!$A$2:$A$73,0))-INDEX('Team Ratings'!$M$2:$M$73,MATCH($G42,'Team Ratings'!$A$2:$A$73,0)))+(INDEX('Team Ratings'!$M$2:$M$73,MATCH($H42,'Team Ratings'!$A$2:$A$73,0))-INDEX('Team Ratings'!$L$2:$L$73,MATCH($G42,'Team Ratings'!$A$2:$A$73,0))))/2)),3))</f>
        <v>0.05</v>
      </c>
      <c r="AG42" s="16">
        <f t="array" ref="AG42">IF($S42=FALSE(),"",ROUND((1/J42)*4 + (INDEX('Team Ratings'!$T$2:$T$73,MATCH($H42,'Team Ratings'!$A$2:$A$73,0))/MAX('Team Ratings'!$T$2:$T$73))*4 + (1-(INDEX('Team Ratings'!$J$2:$J$73,MATCH($H42,'Team Ratings'!$A$2:$A$73,0))/MAX('Team Ratings'!$J$2:$J$73)))*2 + (INDEX('Team Ratings'!$N$2:$N$73,MATCH($H42,'Team Ratings'!$A$2:$A$73,0))/MAX('Team Ratings'!$N$2:$N$73)) + (INDEX('Team Ratings'!$M$2:$M$73,MATCH($H42,'Team Ratings'!$A$2:$A$73,0))/MAX('Team Ratings'!$M$2:$M$73)),2))</f>
        <v>4.47</v>
      </c>
      <c r="AH42" s="16">
        <f t="array" ref="AH42">IF($S42=FALSE(),"",IFERROR(INDEX('Team Ratings'!$Q$2:$Q$73,MATCH($H42,'Team Ratings'!$A$2:$A$73,0)),0))</f>
        <v>0</v>
      </c>
      <c r="AI42" s="10" t="b">
        <f t="shared" si="14"/>
        <v>1</v>
      </c>
      <c r="AJ42" s="10"/>
      <c r="AK42" s="10" t="str">
        <f t="shared" si="15"/>
        <v>Florida</v>
      </c>
      <c r="AL42" s="10">
        <v>9</v>
      </c>
    </row>
    <row r="43" spans="1:38" ht="20" customHeight="1" x14ac:dyDescent="0.2">
      <c r="A43" s="14" t="s">
        <v>152</v>
      </c>
      <c r="B43" s="14" t="s">
        <v>202</v>
      </c>
      <c r="C43" s="5">
        <f>_xlfn.SWITCH(B43,
 "Round 1",1,
 "Round 2",2,
 "Sweet 16",3,
 "Elite 8",4,
 "Final Four",5,
 "Championship",6
)*100
+
COUNTIF($B$2:B43,B43)</f>
        <v>210</v>
      </c>
      <c r="D43" s="5" t="s">
        <v>60</v>
      </c>
      <c r="E43" s="5" t="s">
        <v>157</v>
      </c>
      <c r="F43" s="5" t="s">
        <v>151</v>
      </c>
      <c r="G43" s="5" t="s">
        <v>64</v>
      </c>
      <c r="H43" s="5" t="s">
        <v>72</v>
      </c>
      <c r="I43" s="15">
        <f t="array" ref="I43">IFERROR(INDEX('Team Ratings'!$B$2:$B$73,MATCH($G43,'Team Ratings'!$A$2:$A$73,0)),"")</f>
        <v>5</v>
      </c>
      <c r="J43" s="15">
        <f t="array" ref="J43">IFERROR(INDEX('Team Ratings'!$B$2:$B$73,MATCH($H43,'Team Ratings'!$A$2:$A$73,0)),"")</f>
        <v>13</v>
      </c>
      <c r="K43" s="12">
        <f>IF($S43=FALSE(),"",ROUND((0.35*IFERROR((U43-AVERAGE('Team Metrics'!$X$2:$X$65))/_xlfn.STDEV.P('Team Metrics'!$X$2:$X$65),0)) + (0.2*IFERROR((V43-AVERAGE('Team Metrics'!$W$2:$W$65))/_xlfn.STDEV.P('Team Metrics'!$W$2:$W$65),0)) + (0.15*IFERROR((W43-AVERAGE('Team Metrics'!$Y$2:$Y$65))/_xlfn.STDEV.P('Team Metrics'!$Y$2:$Y$65),0)) + (0.1*IFERROR((X43-AVERAGE('Team Metrics'!$Z$2:$Z$65))/_xlfn.STDEV.P('Team Metrics'!$Z$2:$Z$65),0)) + (0.1*IFERROR((Y43-AVERAGE('Team Metrics'!$AA$2:$AA$65))/_xlfn.STDEV.P('Team Metrics'!$AA$2:$AA$65),0)) + (0.05*IFERROR((Z43-AVERAGE('Team Metrics'!$AB$2:$AB$65))/_xlfn.STDEV.P('Team Metrics'!$AB$2:$AB$65),0)) + (0.05*IFERROR((AA43-AVERAGE('Team Metrics'!$S$2:$S$65))/IF(_xlfn.STDEV.P('Team Metrics'!$S$2:$S$65)=0,1,_xlfn.STDEV.P('Team Metrics'!$S$2:$S$65)),0)),4))</f>
        <v>0.63219999999999998</v>
      </c>
      <c r="L43" s="12">
        <f>IF($S43=FALSE(),"",ROUND((0.35*IFERROR((AB43-AVERAGE('Team Metrics'!$X$2:$X$65))/_xlfn.STDEV.P('Team Metrics'!$X$2:$X$65),0)) + (0.2*IFERROR((AC43-AVERAGE('Team Metrics'!$W$2:$W$65))/_xlfn.STDEV.P('Team Metrics'!$W$2:$W$65),0)) + (0.15*IFERROR((AD43-AVERAGE('Team Metrics'!$Y$2:$Y$65))/_xlfn.STDEV.P('Team Metrics'!$Y$2:$Y$65),0)) + (0.1*IFERROR((AE43-AVERAGE('Team Metrics'!$Z$2:$Z$65))/_xlfn.STDEV.P('Team Metrics'!$Z$2:$Z$65),0)) + (0.1*IFERROR((AF43-AVERAGE('Team Metrics'!$AA$2:$AA$65))/_xlfn.STDEV.P('Team Metrics'!$AA$2:$AA$65),0)) + (0.05*IFERROR((AG43-AVERAGE('Team Metrics'!$AB$2:$AB$65))/_xlfn.STDEV.P('Team Metrics'!$AB$2:$AB$65),0)) + (0.05*IFERROR((AH43-AVERAGE('Team Metrics'!$S$2:$S$65))/IF(_xlfn.STDEV.P('Team Metrics'!$S$2:$S$65)=0,1,_xlfn.STDEV.P('Team Metrics'!$S$2:$S$65)),0)),4))</f>
        <v>-0.1009</v>
      </c>
      <c r="M43" s="12">
        <f t="shared" si="8"/>
        <v>0.73309999999999997</v>
      </c>
      <c r="N43" s="10" t="str">
        <f t="shared" si="9"/>
        <v>Vanderbilt</v>
      </c>
      <c r="O43" s="7">
        <f t="shared" si="10"/>
        <v>58.8</v>
      </c>
      <c r="P43" s="5" t="str">
        <f t="shared" si="11"/>
        <v/>
      </c>
      <c r="Q43" s="5" t="s">
        <v>207</v>
      </c>
      <c r="R43" s="5" t="s">
        <v>132</v>
      </c>
      <c r="S43" s="10" t="b">
        <f t="shared" si="12"/>
        <v>1</v>
      </c>
      <c r="T43" s="5" t="str">
        <f t="shared" si="13"/>
        <v>ΔComposite=0.73; AdjNET Δ=25.1; 3PT Δ=3.2; TO Δ=-2.7; REB Δ=-3.6</v>
      </c>
      <c r="U43" s="16">
        <f t="array" ref="U43">IF($S43=FALSE(),"",ROUND((0.75*INDEX('Team Ratings'!$G$2:$G$73,MATCH($G43,'Team Ratings'!$A$2:$A$73,0)))+(0.25*INDEX('Team Ratings'!$T$2:$T$73,MATCH($G43,'Team Ratings'!$A$2:$A$73,0))),3))</f>
        <v>30.074999999999999</v>
      </c>
      <c r="V43" s="16">
        <f t="array" ref="V43">IF($S43=FALSE(),"",ROUND(INDEX('Team Ratings'!$T$2:$T$73,MATCH($G43,'Team Ratings'!$A$2:$A$73,0))-INDEX('Team Ratings'!$G$2:$G$73,MATCH($G43,'Team Ratings'!$A$2:$A$73,0)),3))</f>
        <v>7.9</v>
      </c>
      <c r="W43" s="16">
        <f t="array" ref="W43">IF($S43=FALSE(),"",ROUND(INDEX('Team Ratings'!$O$2:$O$73,MATCH($G43,'Team Ratings'!$A$2:$A$73,0))-INDEX('Team Ratings'!$P$2:$P$73,MATCH($H43,'Team Ratings'!$A$2:$A$73,0)),3))</f>
        <v>4.2</v>
      </c>
      <c r="X43" s="16">
        <f t="array" ref="X43">IF($S43=FALSE(),"",ROUND(INDEX('Team Ratings'!$K$2:$K$73,MATCH($G43,'Team Ratings'!$A$2:$A$73,0))-INDEX('Team Ratings'!$J$2:$J$73,MATCH($H43,'Team Ratings'!$A$2:$A$73,0)),3))</f>
        <v>0.9</v>
      </c>
      <c r="Y43" s="16">
        <f t="array" ref="Y43">IF($S43=FALSE(),"",ROUND(MAX(0,MIN(10,5+((INDEX('Team Ratings'!$L$2:$L$73,MATCH($G43,'Team Ratings'!$A$2:$A$73,0))-INDEX('Team Ratings'!$M$2:$M$73,MATCH($H43,'Team Ratings'!$A$2:$A$73,0)))+(INDEX('Team Ratings'!$M$2:$M$73,MATCH($G43,'Team Ratings'!$A$2:$A$73,0))-INDEX('Team Ratings'!$L$2:$L$73,MATCH($H43,'Team Ratings'!$A$2:$A$73,0))))/2)),3))</f>
        <v>3.2</v>
      </c>
      <c r="Z43" s="16">
        <f t="array" ref="Z43">IF($S43=FALSE(),"",ROUND((1/I43)*4 + (INDEX('Team Ratings'!$T$2:$T$73,MATCH($G43,'Team Ratings'!$A$2:$A$73,0))/MAX('Team Ratings'!$T$2:$T$73))*4 + (1-(INDEX('Team Ratings'!$J$2:$J$73,MATCH($G43,'Team Ratings'!$A$2:$A$73,0))/MAX('Team Ratings'!$J$2:$J$73)))*2 + (INDEX('Team Ratings'!$N$2:$N$73,MATCH($G43,'Team Ratings'!$A$2:$A$73,0))/MAX('Team Ratings'!$N$2:$N$73)) + (INDEX('Team Ratings'!$M$2:$M$73,MATCH($G43,'Team Ratings'!$A$2:$A$73,0))/MAX('Team Ratings'!$M$2:$M$73)),2))</f>
        <v>6.82</v>
      </c>
      <c r="AA43" s="16">
        <f t="array" ref="AA43">IF($S43=FALSE(),"",IFERROR(INDEX('Team Ratings'!$Q$2:$Q$73,MATCH($G43,'Team Ratings'!$A$2:$A$73,0)),0))</f>
        <v>0</v>
      </c>
      <c r="AB43" s="16">
        <f t="array" ref="AB43">IF($S43=FALSE(),"",ROUND((0.75*INDEX('Team Ratings'!$G$2:$G$73,MATCH($H43,'Team Ratings'!$A$2:$A$73,0)))+(0.25*INDEX('Team Ratings'!$T$2:$T$73,MATCH($H43,'Team Ratings'!$A$2:$A$73,0))),3))</f>
        <v>5</v>
      </c>
      <c r="AC43" s="16">
        <f t="array" ref="AC43">IF($S43=FALSE(),"",ROUND(INDEX('Team Ratings'!$T$2:$T$73,MATCH($H43,'Team Ratings'!$A$2:$A$73,0))-INDEX('Team Ratings'!$G$2:$G$73,MATCH($H43,'Team Ratings'!$A$2:$A$73,0)),3))</f>
        <v>13.2</v>
      </c>
      <c r="AD43" s="16">
        <f t="array" ref="AD43">IF($S43=FALSE(),"",ROUND(INDEX('Team Ratings'!$O$2:$O$73,MATCH($H43,'Team Ratings'!$A$2:$A$73,0))-INDEX('Team Ratings'!$P$2:$P$73,MATCH($G43,'Team Ratings'!$A$2:$A$73,0)),3))</f>
        <v>1</v>
      </c>
      <c r="AE43" s="16">
        <f t="array" ref="AE43">IF($S43=FALSE(),"",ROUND(INDEX('Team Ratings'!$K$2:$K$73,MATCH($H43,'Team Ratings'!$A$2:$A$73,0))-INDEX('Team Ratings'!$J$2:$J$73,MATCH($G43,'Team Ratings'!$A$2:$A$73,0)),3))</f>
        <v>3.6</v>
      </c>
      <c r="AF43" s="16">
        <f t="array" ref="AF43">IF($S43=FALSE(),"",ROUND(MAX(0,MIN(10,5+((INDEX('Team Ratings'!$L$2:$L$73,MATCH($H43,'Team Ratings'!$A$2:$A$73,0))-INDEX('Team Ratings'!$M$2:$M$73,MATCH($G43,'Team Ratings'!$A$2:$A$73,0)))+(INDEX('Team Ratings'!$M$2:$M$73,MATCH($H43,'Team Ratings'!$A$2:$A$73,0))-INDEX('Team Ratings'!$L$2:$L$73,MATCH($G43,'Team Ratings'!$A$2:$A$73,0))))/2)),3))</f>
        <v>6.8</v>
      </c>
      <c r="AG43" s="16">
        <f t="array" ref="AG43">IF($S43=FALSE(),"",ROUND((1/J43)*4 + (INDEX('Team Ratings'!$T$2:$T$73,MATCH($H43,'Team Ratings'!$A$2:$A$73,0))/MAX('Team Ratings'!$T$2:$T$73))*4 + (1-(INDEX('Team Ratings'!$J$2:$J$73,MATCH($H43,'Team Ratings'!$A$2:$A$73,0))/MAX('Team Ratings'!$J$2:$J$73)))*2 + (INDEX('Team Ratings'!$N$2:$N$73,MATCH($H43,'Team Ratings'!$A$2:$A$73,0))/MAX('Team Ratings'!$N$2:$N$73)) + (INDEX('Team Ratings'!$M$2:$M$73,MATCH($H43,'Team Ratings'!$A$2:$A$73,0))/MAX('Team Ratings'!$M$2:$M$73)),2))</f>
        <v>3.78</v>
      </c>
      <c r="AH43" s="16">
        <f t="array" ref="AH43">IF($S43=FALSE(),"",IFERROR(INDEX('Team Ratings'!$Q$2:$Q$73,MATCH($H43,'Team Ratings'!$A$2:$A$73,0)),0))</f>
        <v>0</v>
      </c>
      <c r="AI43" s="10" t="b">
        <f t="shared" si="14"/>
        <v>1</v>
      </c>
      <c r="AJ43" s="10"/>
      <c r="AK43" s="10" t="str">
        <f t="shared" si="15"/>
        <v>Vanderbilt</v>
      </c>
      <c r="AL43" s="10">
        <v>9</v>
      </c>
    </row>
    <row r="44" spans="1:38" ht="20" customHeight="1" x14ac:dyDescent="0.2">
      <c r="A44" s="14" t="s">
        <v>144</v>
      </c>
      <c r="B44" s="14" t="s">
        <v>202</v>
      </c>
      <c r="C44" s="5">
        <f>_xlfn.SWITCH(B44,
 "Round 1",1,
 "Round 2",2,
 "Sweet 16",3,
 "Elite 8",4,
 "Final Four",5,
 "Championship",6
)*100
+
COUNTIF($B$2:B44,B44)</f>
        <v>211</v>
      </c>
      <c r="D44" s="5" t="s">
        <v>60</v>
      </c>
      <c r="E44" s="5" t="s">
        <v>161</v>
      </c>
      <c r="F44" s="5" t="s">
        <v>143</v>
      </c>
      <c r="G44" s="5" t="s">
        <v>70</v>
      </c>
      <c r="H44" s="5" t="s">
        <v>62</v>
      </c>
      <c r="I44" s="15">
        <f t="array" ref="I44">IFERROR(INDEX('Team Ratings'!$B$2:$B$73,MATCH($G44,'Team Ratings'!$A$2:$A$73,0)),"")</f>
        <v>11</v>
      </c>
      <c r="J44" s="15">
        <f t="array" ref="J44">IFERROR(INDEX('Team Ratings'!$B$2:$B$73,MATCH($H44,'Team Ratings'!$A$2:$A$73,0)),"")</f>
        <v>3</v>
      </c>
      <c r="K44" s="12">
        <f>IF($S44=FALSE(),"",ROUND((0.35*IFERROR((U44-AVERAGE('Team Metrics'!$X$2:$X$65))/_xlfn.STDEV.P('Team Metrics'!$X$2:$X$65),0)) + (0.2*IFERROR((V44-AVERAGE('Team Metrics'!$W$2:$W$65))/_xlfn.STDEV.P('Team Metrics'!$W$2:$W$65),0)) + (0.15*IFERROR((W44-AVERAGE('Team Metrics'!$Y$2:$Y$65))/_xlfn.STDEV.P('Team Metrics'!$Y$2:$Y$65),0)) + (0.1*IFERROR((X44-AVERAGE('Team Metrics'!$Z$2:$Z$65))/_xlfn.STDEV.P('Team Metrics'!$Z$2:$Z$65),0)) + (0.1*IFERROR((Y44-AVERAGE('Team Metrics'!$AA$2:$AA$65))/_xlfn.STDEV.P('Team Metrics'!$AA$2:$AA$65),0)) + (0.05*IFERROR((Z44-AVERAGE('Team Metrics'!$AB$2:$AB$65))/_xlfn.STDEV.P('Team Metrics'!$AB$2:$AB$65),0)) + (0.05*IFERROR((AA44-AVERAGE('Team Metrics'!$S$2:$S$65))/IF(_xlfn.STDEV.P('Team Metrics'!$S$2:$S$65)=0,1,_xlfn.STDEV.P('Team Metrics'!$S$2:$S$65)),0)),4))</f>
        <v>0.29730000000000001</v>
      </c>
      <c r="L44" s="12">
        <f>IF($S44=FALSE(),"",ROUND((0.35*IFERROR((AB44-AVERAGE('Team Metrics'!$X$2:$X$65))/_xlfn.STDEV.P('Team Metrics'!$X$2:$X$65),0)) + (0.2*IFERROR((AC44-AVERAGE('Team Metrics'!$W$2:$W$65))/_xlfn.STDEV.P('Team Metrics'!$W$2:$W$65),0)) + (0.15*IFERROR((AD44-AVERAGE('Team Metrics'!$Y$2:$Y$65))/_xlfn.STDEV.P('Team Metrics'!$Y$2:$Y$65),0)) + (0.1*IFERROR((AE44-AVERAGE('Team Metrics'!$Z$2:$Z$65))/_xlfn.STDEV.P('Team Metrics'!$Z$2:$Z$65),0)) + (0.1*IFERROR((AF44-AVERAGE('Team Metrics'!$AA$2:$AA$65))/_xlfn.STDEV.P('Team Metrics'!$AA$2:$AA$65),0)) + (0.05*IFERROR((AG44-AVERAGE('Team Metrics'!$AB$2:$AB$65))/_xlfn.STDEV.P('Team Metrics'!$AB$2:$AB$65),0)) + (0.05*IFERROR((AH44-AVERAGE('Team Metrics'!$S$2:$S$65))/IF(_xlfn.STDEV.P('Team Metrics'!$S$2:$S$65)=0,1,_xlfn.STDEV.P('Team Metrics'!$S$2:$S$65)),0)),4))</f>
        <v>0.1489</v>
      </c>
      <c r="M44" s="12">
        <f t="shared" si="8"/>
        <v>0.1484</v>
      </c>
      <c r="N44" s="10" t="str">
        <f t="shared" si="9"/>
        <v>VCU</v>
      </c>
      <c r="O44" s="7">
        <f t="shared" si="10"/>
        <v>51.8</v>
      </c>
      <c r="P44" s="5" t="str">
        <f t="shared" si="11"/>
        <v>UPSET</v>
      </c>
      <c r="Q44" s="5" t="s">
        <v>208</v>
      </c>
      <c r="R44" s="5" t="s">
        <v>123</v>
      </c>
      <c r="S44" s="10" t="b">
        <f t="shared" si="12"/>
        <v>1</v>
      </c>
      <c r="T44" s="5" t="str">
        <f t="shared" si="13"/>
        <v>ΔComposite=0.15; AdjNET Δ=-14.5; 3PT Δ=3.7; TO Δ=7.6; REB Δ=-3.5</v>
      </c>
      <c r="U44" s="16">
        <f t="array" ref="U44">IF($S44=FALSE(),"",ROUND((0.75*INDEX('Team Ratings'!$G$2:$G$73,MATCH($G44,'Team Ratings'!$A$2:$A$73,0)))+(0.25*INDEX('Team Ratings'!$T$2:$T$73,MATCH($G44,'Team Ratings'!$A$2:$A$73,0))),3))</f>
        <v>17.600000000000001</v>
      </c>
      <c r="V44" s="16">
        <f t="array" ref="V44">IF($S44=FALSE(),"",ROUND(INDEX('Team Ratings'!$T$2:$T$73,MATCH($G44,'Team Ratings'!$A$2:$A$73,0))-INDEX('Team Ratings'!$G$2:$G$73,MATCH($G44,'Team Ratings'!$A$2:$A$73,0)),3))</f>
        <v>5.2</v>
      </c>
      <c r="W44" s="16">
        <f t="array" ref="W44">IF($S44=FALSE(),"",ROUND(INDEX('Team Ratings'!$O$2:$O$73,MATCH($G44,'Team Ratings'!$A$2:$A$73,0))-INDEX('Team Ratings'!$P$2:$P$73,MATCH($H44,'Team Ratings'!$A$2:$A$73,0)),3))</f>
        <v>5.3</v>
      </c>
      <c r="X44" s="16">
        <f t="array" ref="X44">IF($S44=FALSE(),"",ROUND(INDEX('Team Ratings'!$K$2:$K$73,MATCH($G44,'Team Ratings'!$A$2:$A$73,0))-INDEX('Team Ratings'!$J$2:$J$73,MATCH($H44,'Team Ratings'!$A$2:$A$73,0)),3))</f>
        <v>4</v>
      </c>
      <c r="Y44" s="16">
        <f t="array" ref="Y44">IF($S44=FALSE(),"",ROUND(MAX(0,MIN(10,5+((INDEX('Team Ratings'!$L$2:$L$73,MATCH($G44,'Team Ratings'!$A$2:$A$73,0))-INDEX('Team Ratings'!$M$2:$M$73,MATCH($H44,'Team Ratings'!$A$2:$A$73,0)))+(INDEX('Team Ratings'!$M$2:$M$73,MATCH($G44,'Team Ratings'!$A$2:$A$73,0))-INDEX('Team Ratings'!$L$2:$L$73,MATCH($H44,'Team Ratings'!$A$2:$A$73,0))))/2)),3))</f>
        <v>3.25</v>
      </c>
      <c r="Z44" s="16">
        <f t="array" ref="Z44">IF($S44=FALSE(),"",ROUND((1/I44)*4 + (INDEX('Team Ratings'!$T$2:$T$73,MATCH($G44,'Team Ratings'!$A$2:$A$73,0))/MAX('Team Ratings'!$T$2:$T$73))*4 + (1-(INDEX('Team Ratings'!$J$2:$J$73,MATCH($G44,'Team Ratings'!$A$2:$A$73,0))/MAX('Team Ratings'!$J$2:$J$73)))*2 + (INDEX('Team Ratings'!$N$2:$N$73,MATCH($G44,'Team Ratings'!$A$2:$A$73,0))/MAX('Team Ratings'!$N$2:$N$73)) + (INDEX('Team Ratings'!$M$2:$M$73,MATCH($G44,'Team Ratings'!$A$2:$A$73,0))/MAX('Team Ratings'!$M$2:$M$73)),2))</f>
        <v>4.8</v>
      </c>
      <c r="AA44" s="16">
        <f t="array" ref="AA44">IF($S44=FALSE(),"",IFERROR(INDEX('Team Ratings'!$Q$2:$Q$73,MATCH($G44,'Team Ratings'!$A$2:$A$73,0)),0))</f>
        <v>0</v>
      </c>
      <c r="AB44" s="16">
        <f t="array" ref="AB44">IF($S44=FALSE(),"",ROUND((0.75*INDEX('Team Ratings'!$G$2:$G$73,MATCH($H44,'Team Ratings'!$A$2:$A$73,0)))+(0.25*INDEX('Team Ratings'!$T$2:$T$73,MATCH($H44,'Team Ratings'!$A$2:$A$73,0))),3))</f>
        <v>32.075000000000003</v>
      </c>
      <c r="AC44" s="16">
        <f t="array" ref="AC44">IF($S44=FALSE(),"",ROUND(INDEX('Team Ratings'!$T$2:$T$73,MATCH($H44,'Team Ratings'!$A$2:$A$73,0))-INDEX('Team Ratings'!$G$2:$G$73,MATCH($H44,'Team Ratings'!$A$2:$A$73,0)),3))</f>
        <v>-6.5</v>
      </c>
      <c r="AD44" s="16">
        <f t="array" ref="AD44">IF($S44=FALSE(),"",ROUND(INDEX('Team Ratings'!$O$2:$O$73,MATCH($H44,'Team Ratings'!$A$2:$A$73,0))-INDEX('Team Ratings'!$P$2:$P$73,MATCH($G44,'Team Ratings'!$A$2:$A$73,0)),3))</f>
        <v>1.6</v>
      </c>
      <c r="AE44" s="16">
        <f t="array" ref="AE44">IF($S44=FALSE(),"",ROUND(INDEX('Team Ratings'!$K$2:$K$73,MATCH($H44,'Team Ratings'!$A$2:$A$73,0))-INDEX('Team Ratings'!$J$2:$J$73,MATCH($G44,'Team Ratings'!$A$2:$A$73,0)),3))</f>
        <v>-3.6</v>
      </c>
      <c r="AF44" s="16">
        <f t="array" ref="AF44">IF($S44=FALSE(),"",ROUND(MAX(0,MIN(10,5+((INDEX('Team Ratings'!$L$2:$L$73,MATCH($H44,'Team Ratings'!$A$2:$A$73,0))-INDEX('Team Ratings'!$M$2:$M$73,MATCH($G44,'Team Ratings'!$A$2:$A$73,0)))+(INDEX('Team Ratings'!$M$2:$M$73,MATCH($H44,'Team Ratings'!$A$2:$A$73,0))-INDEX('Team Ratings'!$L$2:$L$73,MATCH($G44,'Team Ratings'!$A$2:$A$73,0))))/2)),3))</f>
        <v>6.75</v>
      </c>
      <c r="AG44" s="16">
        <f t="array" ref="AG44">IF($S44=FALSE(),"",ROUND((1/J44)*4 + (INDEX('Team Ratings'!$T$2:$T$73,MATCH($H44,'Team Ratings'!$A$2:$A$73,0))/MAX('Team Ratings'!$T$2:$T$73))*4 + (1-(INDEX('Team Ratings'!$J$2:$J$73,MATCH($H44,'Team Ratings'!$A$2:$A$73,0))/MAX('Team Ratings'!$J$2:$J$73)))*2 + (INDEX('Team Ratings'!$N$2:$N$73,MATCH($H44,'Team Ratings'!$A$2:$A$73,0))/MAX('Team Ratings'!$N$2:$N$73)) + (INDEX('Team Ratings'!$M$2:$M$73,MATCH($H44,'Team Ratings'!$A$2:$A$73,0))/MAX('Team Ratings'!$M$2:$M$73)),2))</f>
        <v>6.23</v>
      </c>
      <c r="AH44" s="16">
        <f t="array" ref="AH44">IF($S44=FALSE(),"",IFERROR(INDEX('Team Ratings'!$Q$2:$Q$73,MATCH($H44,'Team Ratings'!$A$2:$A$73,0)),0))</f>
        <v>0</v>
      </c>
      <c r="AI44" s="10" t="b">
        <f t="shared" si="14"/>
        <v>1</v>
      </c>
      <c r="AJ44" s="10"/>
      <c r="AK44" s="10" t="str">
        <f t="shared" si="15"/>
        <v>VCU</v>
      </c>
      <c r="AL44" s="10">
        <v>9</v>
      </c>
    </row>
    <row r="45" spans="1:38" ht="20" customHeight="1" x14ac:dyDescent="0.2">
      <c r="A45" s="14" t="s">
        <v>136</v>
      </c>
      <c r="B45" s="14" t="s">
        <v>202</v>
      </c>
      <c r="C45" s="5">
        <f>_xlfn.SWITCH(B45,
 "Round 1",1,
 "Round 2",2,
 "Sweet 16",3,
 "Elite 8",4,
 "Final Four",5,
 "Championship",6
)*100
+
COUNTIF($B$2:B45,B45)</f>
        <v>212</v>
      </c>
      <c r="D45" s="5" t="s">
        <v>60</v>
      </c>
      <c r="E45" s="5" t="s">
        <v>165</v>
      </c>
      <c r="F45" s="5" t="s">
        <v>135</v>
      </c>
      <c r="G45" s="5" t="s">
        <v>66</v>
      </c>
      <c r="H45" s="5" t="s">
        <v>61</v>
      </c>
      <c r="I45" s="15">
        <f t="array" ref="I45">IFERROR(INDEX('Team Ratings'!$B$2:$B$73,MATCH($G45,'Team Ratings'!$A$2:$A$73,0)),"")</f>
        <v>7</v>
      </c>
      <c r="J45" s="15">
        <f t="array" ref="J45">IFERROR(INDEX('Team Ratings'!$B$2:$B$73,MATCH($H45,'Team Ratings'!$A$2:$A$73,0)),"")</f>
        <v>2</v>
      </c>
      <c r="K45" s="12">
        <f>IF($S45=FALSE(),"",ROUND((0.35*IFERROR((U45-AVERAGE('Team Metrics'!$X$2:$X$65))/_xlfn.STDEV.P('Team Metrics'!$X$2:$X$65),0)) + (0.2*IFERROR((V45-AVERAGE('Team Metrics'!$W$2:$W$65))/_xlfn.STDEV.P('Team Metrics'!$W$2:$W$65),0)) + (0.15*IFERROR((W45-AVERAGE('Team Metrics'!$Y$2:$Y$65))/_xlfn.STDEV.P('Team Metrics'!$Y$2:$Y$65),0)) + (0.1*IFERROR((X45-AVERAGE('Team Metrics'!$Z$2:$Z$65))/_xlfn.STDEV.P('Team Metrics'!$Z$2:$Z$65),0)) + (0.1*IFERROR((Y45-AVERAGE('Team Metrics'!$AA$2:$AA$65))/_xlfn.STDEV.P('Team Metrics'!$AA$2:$AA$65),0)) + (0.05*IFERROR((Z45-AVERAGE('Team Metrics'!$AB$2:$AB$65))/_xlfn.STDEV.P('Team Metrics'!$AB$2:$AB$65),0)) + (0.05*IFERROR((AA45-AVERAGE('Team Metrics'!$S$2:$S$65))/IF(_xlfn.STDEV.P('Team Metrics'!$S$2:$S$65)=0,1,_xlfn.STDEV.P('Team Metrics'!$S$2:$S$65)),0)),4))</f>
        <v>0.1066</v>
      </c>
      <c r="L45" s="12">
        <f>IF($S45=FALSE(),"",ROUND((0.35*IFERROR((AB45-AVERAGE('Team Metrics'!$X$2:$X$65))/_xlfn.STDEV.P('Team Metrics'!$X$2:$X$65),0)) + (0.2*IFERROR((AC45-AVERAGE('Team Metrics'!$W$2:$W$65))/_xlfn.STDEV.P('Team Metrics'!$W$2:$W$65),0)) + (0.15*IFERROR((AD45-AVERAGE('Team Metrics'!$Y$2:$Y$65))/_xlfn.STDEV.P('Team Metrics'!$Y$2:$Y$65),0)) + (0.1*IFERROR((AE45-AVERAGE('Team Metrics'!$Z$2:$Z$65))/_xlfn.STDEV.P('Team Metrics'!$Z$2:$Z$65),0)) + (0.1*IFERROR((AF45-AVERAGE('Team Metrics'!$AA$2:$AA$65))/_xlfn.STDEV.P('Team Metrics'!$AA$2:$AA$65),0)) + (0.05*IFERROR((AG45-AVERAGE('Team Metrics'!$AB$2:$AB$65))/_xlfn.STDEV.P('Team Metrics'!$AB$2:$AB$65),0)) + (0.05*IFERROR((AH45-AVERAGE('Team Metrics'!$S$2:$S$65))/IF(_xlfn.STDEV.P('Team Metrics'!$S$2:$S$65)=0,1,_xlfn.STDEV.P('Team Metrics'!$S$2:$S$65)),0)),4))</f>
        <v>0.59799999999999998</v>
      </c>
      <c r="M45" s="12">
        <f t="shared" si="8"/>
        <v>-0.4914</v>
      </c>
      <c r="N45" s="10" t="str">
        <f t="shared" si="9"/>
        <v>Houston</v>
      </c>
      <c r="O45" s="7">
        <f t="shared" si="10"/>
        <v>55.9</v>
      </c>
      <c r="P45" s="5" t="str">
        <f t="shared" si="11"/>
        <v/>
      </c>
      <c r="Q45" s="5" t="s">
        <v>208</v>
      </c>
      <c r="R45" s="5" t="s">
        <v>132</v>
      </c>
      <c r="S45" s="10" t="b">
        <f t="shared" si="12"/>
        <v>1</v>
      </c>
      <c r="T45" s="5" t="str">
        <f t="shared" si="13"/>
        <v>ΔComposite=0.49; AdjNET Δ=-11.4; 3PT Δ=2.8; TO Δ=-2.4; REB Δ=-5.4</v>
      </c>
      <c r="U45" s="16">
        <f t="array" ref="U45">IF($S45=FALSE(),"",ROUND((0.75*INDEX('Team Ratings'!$G$2:$G$73,MATCH($G45,'Team Ratings'!$A$2:$A$73,0)))+(0.25*INDEX('Team Ratings'!$T$2:$T$73,MATCH($G45,'Team Ratings'!$A$2:$A$73,0))),3))</f>
        <v>20.574999999999999</v>
      </c>
      <c r="V45" s="16">
        <f t="array" ref="V45">IF($S45=FALSE(),"",ROUND(INDEX('Team Ratings'!$T$2:$T$73,MATCH($G45,'Team Ratings'!$A$2:$A$73,0))-INDEX('Team Ratings'!$G$2:$G$73,MATCH($G45,'Team Ratings'!$A$2:$A$73,0)),3))</f>
        <v>-5.3</v>
      </c>
      <c r="W45" s="16">
        <f t="array" ref="W45">IF($S45=FALSE(),"",ROUND(INDEX('Team Ratings'!$O$2:$O$73,MATCH($G45,'Team Ratings'!$A$2:$A$73,0))-INDEX('Team Ratings'!$P$2:$P$73,MATCH($H45,'Team Ratings'!$A$2:$A$73,0)),3))</f>
        <v>6.5</v>
      </c>
      <c r="X45" s="16">
        <f t="array" ref="X45">IF($S45=FALSE(),"",ROUND(INDEX('Team Ratings'!$K$2:$K$73,MATCH($G45,'Team Ratings'!$A$2:$A$73,0))-INDEX('Team Ratings'!$J$2:$J$73,MATCH($H45,'Team Ratings'!$A$2:$A$73,0)),3))</f>
        <v>2.2000000000000002</v>
      </c>
      <c r="Y45" s="16">
        <f t="array" ref="Y45">IF($S45=FALSE(),"",ROUND(MAX(0,MIN(10,5+((INDEX('Team Ratings'!$L$2:$L$73,MATCH($G45,'Team Ratings'!$A$2:$A$73,0))-INDEX('Team Ratings'!$M$2:$M$73,MATCH($H45,'Team Ratings'!$A$2:$A$73,0)))+(INDEX('Team Ratings'!$M$2:$M$73,MATCH($G45,'Team Ratings'!$A$2:$A$73,0))-INDEX('Team Ratings'!$L$2:$L$73,MATCH($H45,'Team Ratings'!$A$2:$A$73,0))))/2)),3))</f>
        <v>2.2999999999999998</v>
      </c>
      <c r="Z45" s="16">
        <f t="array" ref="Z45">IF($S45=FALSE(),"",ROUND((1/I45)*4 + (INDEX('Team Ratings'!$T$2:$T$73,MATCH($G45,'Team Ratings'!$A$2:$A$73,0))/MAX('Team Ratings'!$T$2:$T$73))*4 + (1-(INDEX('Team Ratings'!$J$2:$J$73,MATCH($G45,'Team Ratings'!$A$2:$A$73,0))/MAX('Team Ratings'!$J$2:$J$73)))*2 + (INDEX('Team Ratings'!$N$2:$N$73,MATCH($G45,'Team Ratings'!$A$2:$A$73,0))/MAX('Team Ratings'!$N$2:$N$73)) + (INDEX('Team Ratings'!$M$2:$M$73,MATCH($G45,'Team Ratings'!$A$2:$A$73,0))/MAX('Team Ratings'!$M$2:$M$73)),2))</f>
        <v>4.05</v>
      </c>
      <c r="AA45" s="16">
        <f t="array" ref="AA45">IF($S45=FALSE(),"",IFERROR(INDEX('Team Ratings'!$Q$2:$Q$73,MATCH($G45,'Team Ratings'!$A$2:$A$73,0)),0))</f>
        <v>0</v>
      </c>
      <c r="AB45" s="16">
        <f t="array" ref="AB45">IF($S45=FALSE(),"",ROUND((0.75*INDEX('Team Ratings'!$G$2:$G$73,MATCH($H45,'Team Ratings'!$A$2:$A$73,0)))+(0.25*INDEX('Team Ratings'!$T$2:$T$73,MATCH($H45,'Team Ratings'!$A$2:$A$73,0))),3))</f>
        <v>31.975000000000001</v>
      </c>
      <c r="AC45" s="16">
        <f t="array" ref="AC45">IF($S45=FALSE(),"",ROUND(INDEX('Team Ratings'!$T$2:$T$73,MATCH($H45,'Team Ratings'!$A$2:$A$73,0))-INDEX('Team Ratings'!$G$2:$G$73,MATCH($H45,'Team Ratings'!$A$2:$A$73,0)),3))</f>
        <v>-3.7</v>
      </c>
      <c r="AD45" s="16">
        <f t="array" ref="AD45">IF($S45=FALSE(),"",ROUND(INDEX('Team Ratings'!$O$2:$O$73,MATCH($H45,'Team Ratings'!$A$2:$A$73,0))-INDEX('Team Ratings'!$P$2:$P$73,MATCH($G45,'Team Ratings'!$A$2:$A$73,0)),3))</f>
        <v>3.7</v>
      </c>
      <c r="AE45" s="16">
        <f t="array" ref="AE45">IF($S45=FALSE(),"",ROUND(INDEX('Team Ratings'!$K$2:$K$73,MATCH($H45,'Team Ratings'!$A$2:$A$73,0))-INDEX('Team Ratings'!$J$2:$J$73,MATCH($G45,'Team Ratings'!$A$2:$A$73,0)),3))</f>
        <v>4.5999999999999996</v>
      </c>
      <c r="AF45" s="16">
        <f t="array" ref="AF45">IF($S45=FALSE(),"",ROUND(MAX(0,MIN(10,5+((INDEX('Team Ratings'!$L$2:$L$73,MATCH($H45,'Team Ratings'!$A$2:$A$73,0))-INDEX('Team Ratings'!$M$2:$M$73,MATCH($G45,'Team Ratings'!$A$2:$A$73,0)))+(INDEX('Team Ratings'!$M$2:$M$73,MATCH($H45,'Team Ratings'!$A$2:$A$73,0))-INDEX('Team Ratings'!$L$2:$L$73,MATCH($G45,'Team Ratings'!$A$2:$A$73,0))))/2)),3))</f>
        <v>7.7</v>
      </c>
      <c r="AG45" s="16">
        <f t="array" ref="AG45">IF($S45=FALSE(),"",ROUND((1/J45)*4 + (INDEX('Team Ratings'!$T$2:$T$73,MATCH($H45,'Team Ratings'!$A$2:$A$73,0))/MAX('Team Ratings'!$T$2:$T$73))*4 + (1-(INDEX('Team Ratings'!$J$2:$J$73,MATCH($H45,'Team Ratings'!$A$2:$A$73,0))/MAX('Team Ratings'!$J$2:$J$73)))*2 + (INDEX('Team Ratings'!$N$2:$N$73,MATCH($H45,'Team Ratings'!$A$2:$A$73,0))/MAX('Team Ratings'!$N$2:$N$73)) + (INDEX('Team Ratings'!$M$2:$M$73,MATCH($H45,'Team Ratings'!$A$2:$A$73,0))/MAX('Team Ratings'!$M$2:$M$73)),2))</f>
        <v>7.1</v>
      </c>
      <c r="AH45" s="16">
        <f t="array" ref="AH45">IF($S45=FALSE(),"",IFERROR(INDEX('Team Ratings'!$Q$2:$Q$73,MATCH($H45,'Team Ratings'!$A$2:$A$73,0)),0))</f>
        <v>-1</v>
      </c>
      <c r="AI45" s="10" t="b">
        <f t="shared" si="14"/>
        <v>1</v>
      </c>
      <c r="AJ45" s="10"/>
      <c r="AK45" s="10" t="str">
        <f t="shared" si="15"/>
        <v>Houston</v>
      </c>
      <c r="AL45" s="10">
        <v>9</v>
      </c>
    </row>
    <row r="46" spans="1:38" ht="20" customHeight="1" x14ac:dyDescent="0.2">
      <c r="A46" s="14" t="s">
        <v>125</v>
      </c>
      <c r="B46" s="14" t="s">
        <v>202</v>
      </c>
      <c r="C46" s="5">
        <f>_xlfn.SWITCH(B46,
 "Round 1",1,
 "Round 2",2,
 "Sweet 16",3,
 "Elite 8",4,
 "Final Four",5,
 "Championship",6
)*100
+
COUNTIF($B$2:B46,B46)</f>
        <v>213</v>
      </c>
      <c r="D46" s="5" t="s">
        <v>79</v>
      </c>
      <c r="E46" s="5" t="s">
        <v>124</v>
      </c>
      <c r="F46" s="5" t="s">
        <v>168</v>
      </c>
      <c r="G46" s="5" t="s">
        <v>78</v>
      </c>
      <c r="H46" s="5" t="s">
        <v>86</v>
      </c>
      <c r="I46" s="15">
        <f t="array" ref="I46">IFERROR(INDEX('Team Ratings'!$B$2:$B$73,MATCH($G46,'Team Ratings'!$A$2:$A$73,0)),"")</f>
        <v>1</v>
      </c>
      <c r="J46" s="15">
        <f t="array" ref="J46">IFERROR(INDEX('Team Ratings'!$B$2:$B$73,MATCH($H46,'Team Ratings'!$A$2:$A$73,0)),"")</f>
        <v>8</v>
      </c>
      <c r="K46" s="12">
        <f>IF($S46=FALSE(),"",ROUND((0.35*IFERROR((U46-AVERAGE('Team Metrics'!$X$2:$X$65))/_xlfn.STDEV.P('Team Metrics'!$X$2:$X$65),0)) + (0.2*IFERROR((V46-AVERAGE('Team Metrics'!$W$2:$W$65))/_xlfn.STDEV.P('Team Metrics'!$W$2:$W$65),0)) + (0.15*IFERROR((W46-AVERAGE('Team Metrics'!$Y$2:$Y$65))/_xlfn.STDEV.P('Team Metrics'!$Y$2:$Y$65),0)) + (0.1*IFERROR((X46-AVERAGE('Team Metrics'!$Z$2:$Z$65))/_xlfn.STDEV.P('Team Metrics'!$Z$2:$Z$65),0)) + (0.1*IFERROR((Y46-AVERAGE('Team Metrics'!$AA$2:$AA$65))/_xlfn.STDEV.P('Team Metrics'!$AA$2:$AA$65),0)) + (0.05*IFERROR((Z46-AVERAGE('Team Metrics'!$AB$2:$AB$65))/_xlfn.STDEV.P('Team Metrics'!$AB$2:$AB$65),0)) + (0.05*IFERROR((AA46-AVERAGE('Team Metrics'!$S$2:$S$65))/IF(_xlfn.STDEV.P('Team Metrics'!$S$2:$S$65)=0,1,_xlfn.STDEV.P('Team Metrics'!$S$2:$S$65)),0)),4))</f>
        <v>0.10390000000000001</v>
      </c>
      <c r="L46" s="12">
        <f>IF($S46=FALSE(),"",ROUND((0.35*IFERROR((AB46-AVERAGE('Team Metrics'!$X$2:$X$65))/_xlfn.STDEV.P('Team Metrics'!$X$2:$X$65),0)) + (0.2*IFERROR((AC46-AVERAGE('Team Metrics'!$W$2:$W$65))/_xlfn.STDEV.P('Team Metrics'!$W$2:$W$65),0)) + (0.15*IFERROR((AD46-AVERAGE('Team Metrics'!$Y$2:$Y$65))/_xlfn.STDEV.P('Team Metrics'!$Y$2:$Y$65),0)) + (0.1*IFERROR((AE46-AVERAGE('Team Metrics'!$Z$2:$Z$65))/_xlfn.STDEV.P('Team Metrics'!$Z$2:$Z$65),0)) + (0.1*IFERROR((AF46-AVERAGE('Team Metrics'!$AA$2:$AA$65))/_xlfn.STDEV.P('Team Metrics'!$AA$2:$AA$65),0)) + (0.05*IFERROR((AG46-AVERAGE('Team Metrics'!$AB$2:$AB$65))/_xlfn.STDEV.P('Team Metrics'!$AB$2:$AB$65),0)) + (0.05*IFERROR((AH46-AVERAGE('Team Metrics'!$S$2:$S$65))/IF(_xlfn.STDEV.P('Team Metrics'!$S$2:$S$65)=0,1,_xlfn.STDEV.P('Team Metrics'!$S$2:$S$65)),0)),4))</f>
        <v>0.17069999999999999</v>
      </c>
      <c r="M46" s="12">
        <f t="shared" si="8"/>
        <v>-6.6799999999999998E-2</v>
      </c>
      <c r="N46" s="10" t="str">
        <f t="shared" si="9"/>
        <v>Georgia</v>
      </c>
      <c r="O46" s="7">
        <f t="shared" si="10"/>
        <v>50.8</v>
      </c>
      <c r="P46" s="5" t="str">
        <f t="shared" si="11"/>
        <v>UPSET</v>
      </c>
      <c r="Q46" s="5" t="s">
        <v>209</v>
      </c>
      <c r="R46" s="5" t="s">
        <v>123</v>
      </c>
      <c r="S46" s="10" t="b">
        <f t="shared" si="12"/>
        <v>1</v>
      </c>
      <c r="T46" s="5" t="str">
        <f t="shared" si="13"/>
        <v>ΔComposite=0.07; AdjNET Δ=15.5; 3PT Δ=-1.6; TO Δ=-0.5; REB Δ=-7</v>
      </c>
      <c r="U46" s="16">
        <f t="array" ref="U46">IF($S46=FALSE(),"",ROUND((0.75*INDEX('Team Ratings'!$G$2:$G$73,MATCH($G46,'Team Ratings'!$A$2:$A$73,0)))+(0.25*INDEX('Team Ratings'!$T$2:$T$73,MATCH($G46,'Team Ratings'!$A$2:$A$73,0))),3))</f>
        <v>34.5</v>
      </c>
      <c r="V46" s="16">
        <f t="array" ref="V46">IF($S46=FALSE(),"",ROUND(INDEX('Team Ratings'!$T$2:$T$73,MATCH($G46,'Team Ratings'!$A$2:$A$73,0))-INDEX('Team Ratings'!$G$2:$G$73,MATCH($G46,'Team Ratings'!$A$2:$A$73,0)),3))</f>
        <v>-8.8000000000000007</v>
      </c>
      <c r="W46" s="16">
        <f t="array" ref="W46">IF($S46=FALSE(),"",ROUND(INDEX('Team Ratings'!$O$2:$O$73,MATCH($G46,'Team Ratings'!$A$2:$A$73,0))-INDEX('Team Ratings'!$P$2:$P$73,MATCH($H46,'Team Ratings'!$A$2:$A$73,0)),3))</f>
        <v>2.2999999999999998</v>
      </c>
      <c r="X46" s="16">
        <f t="array" ref="X46">IF($S46=FALSE(),"",ROUND(INDEX('Team Ratings'!$K$2:$K$73,MATCH($G46,'Team Ratings'!$A$2:$A$73,0))-INDEX('Team Ratings'!$J$2:$J$73,MATCH($H46,'Team Ratings'!$A$2:$A$73,0)),3))</f>
        <v>1.2</v>
      </c>
      <c r="Y46" s="16">
        <f t="array" ref="Y46">IF($S46=FALSE(),"",ROUND(MAX(0,MIN(10,5+((INDEX('Team Ratings'!$L$2:$L$73,MATCH($G46,'Team Ratings'!$A$2:$A$73,0))-INDEX('Team Ratings'!$M$2:$M$73,MATCH($H46,'Team Ratings'!$A$2:$A$73,0)))+(INDEX('Team Ratings'!$M$2:$M$73,MATCH($G46,'Team Ratings'!$A$2:$A$73,0))-INDEX('Team Ratings'!$L$2:$L$73,MATCH($H46,'Team Ratings'!$A$2:$A$73,0))))/2)),3))</f>
        <v>1.5</v>
      </c>
      <c r="Z46" s="16">
        <f t="array" ref="Z46">IF($S46=FALSE(),"",ROUND((1/I46)*4 + (INDEX('Team Ratings'!$T$2:$T$73,MATCH($G46,'Team Ratings'!$A$2:$A$73,0))/MAX('Team Ratings'!$T$2:$T$73))*4 + (1-(INDEX('Team Ratings'!$J$2:$J$73,MATCH($G46,'Team Ratings'!$A$2:$A$73,0))/MAX('Team Ratings'!$J$2:$J$73)))*2 + (INDEX('Team Ratings'!$N$2:$N$73,MATCH($G46,'Team Ratings'!$A$2:$A$73,0))/MAX('Team Ratings'!$N$2:$N$73)) + (INDEX('Team Ratings'!$M$2:$M$73,MATCH($G46,'Team Ratings'!$A$2:$A$73,0))/MAX('Team Ratings'!$M$2:$M$73)),2))</f>
        <v>8.74</v>
      </c>
      <c r="AA46" s="16">
        <f t="array" ref="AA46">IF($S46=FALSE(),"",IFERROR(INDEX('Team Ratings'!$Q$2:$Q$73,MATCH($G46,'Team Ratings'!$A$2:$A$73,0)),0))</f>
        <v>-2</v>
      </c>
      <c r="AB46" s="16">
        <f t="array" ref="AB46">IF($S46=FALSE(),"",ROUND((0.75*INDEX('Team Ratings'!$G$2:$G$73,MATCH($H46,'Team Ratings'!$A$2:$A$73,0)))+(0.25*INDEX('Team Ratings'!$T$2:$T$73,MATCH($H46,'Team Ratings'!$A$2:$A$73,0))),3))</f>
        <v>18.975000000000001</v>
      </c>
      <c r="AC46" s="16">
        <f t="array" ref="AC46">IF($S46=FALSE(),"",ROUND(INDEX('Team Ratings'!$T$2:$T$73,MATCH($H46,'Team Ratings'!$A$2:$A$73,0))-INDEX('Team Ratings'!$G$2:$G$73,MATCH($H46,'Team Ratings'!$A$2:$A$73,0)),3))</f>
        <v>-2.5</v>
      </c>
      <c r="AD46" s="16">
        <f t="array" ref="AD46">IF($S46=FALSE(),"",ROUND(INDEX('Team Ratings'!$O$2:$O$73,MATCH($H46,'Team Ratings'!$A$2:$A$73,0))-INDEX('Team Ratings'!$P$2:$P$73,MATCH($G46,'Team Ratings'!$A$2:$A$73,0)),3))</f>
        <v>3.9</v>
      </c>
      <c r="AE46" s="16">
        <f t="array" ref="AE46">IF($S46=FALSE(),"",ROUND(INDEX('Team Ratings'!$K$2:$K$73,MATCH($H46,'Team Ratings'!$A$2:$A$73,0))-INDEX('Team Ratings'!$J$2:$J$73,MATCH($G46,'Team Ratings'!$A$2:$A$73,0)),3))</f>
        <v>1.7</v>
      </c>
      <c r="AF46" s="16">
        <f t="array" ref="AF46">IF($S46=FALSE(),"",ROUND(MAX(0,MIN(10,5+((INDEX('Team Ratings'!$L$2:$L$73,MATCH($H46,'Team Ratings'!$A$2:$A$73,0))-INDEX('Team Ratings'!$M$2:$M$73,MATCH($G46,'Team Ratings'!$A$2:$A$73,0)))+(INDEX('Team Ratings'!$M$2:$M$73,MATCH($H46,'Team Ratings'!$A$2:$A$73,0))-INDEX('Team Ratings'!$L$2:$L$73,MATCH($G46,'Team Ratings'!$A$2:$A$73,0))))/2)),3))</f>
        <v>8.5</v>
      </c>
      <c r="AG46" s="16">
        <f t="array" ref="AG46">IF($S46=FALSE(),"",ROUND((1/J46)*4 + (INDEX('Team Ratings'!$T$2:$T$73,MATCH($H46,'Team Ratings'!$A$2:$A$73,0))/MAX('Team Ratings'!$T$2:$T$73))*4 + (1-(INDEX('Team Ratings'!$J$2:$J$73,MATCH($H46,'Team Ratings'!$A$2:$A$73,0))/MAX('Team Ratings'!$J$2:$J$73)))*2 + (INDEX('Team Ratings'!$N$2:$N$73,MATCH($H46,'Team Ratings'!$A$2:$A$73,0))/MAX('Team Ratings'!$N$2:$N$73)) + (INDEX('Team Ratings'!$M$2:$M$73,MATCH($H46,'Team Ratings'!$A$2:$A$73,0))/MAX('Team Ratings'!$M$2:$M$73)),2))</f>
        <v>4.58</v>
      </c>
      <c r="AH46" s="16">
        <f t="array" ref="AH46">IF($S46=FALSE(),"",IFERROR(INDEX('Team Ratings'!$Q$2:$Q$73,MATCH($H46,'Team Ratings'!$A$2:$A$73,0)),0))</f>
        <v>0</v>
      </c>
      <c r="AI46" s="10" t="b">
        <f t="shared" si="14"/>
        <v>1</v>
      </c>
      <c r="AJ46" s="10"/>
      <c r="AK46" s="10" t="str">
        <f t="shared" si="15"/>
        <v>Georgia</v>
      </c>
      <c r="AL46" s="10">
        <v>9</v>
      </c>
    </row>
    <row r="47" spans="1:38" ht="20" customHeight="1" x14ac:dyDescent="0.2">
      <c r="A47" s="14" t="s">
        <v>150</v>
      </c>
      <c r="B47" s="14" t="s">
        <v>202</v>
      </c>
      <c r="C47" s="5">
        <f>_xlfn.SWITCH(B47,
 "Round 1",1,
 "Round 2",2,
 "Sweet 16",3,
 "Elite 8",4,
 "Final Four",5,
 "Championship",6
)*100
+
COUNTIF($B$2:B47,B47)</f>
        <v>214</v>
      </c>
      <c r="D47" s="5" t="s">
        <v>79</v>
      </c>
      <c r="E47" s="5" t="s">
        <v>156</v>
      </c>
      <c r="F47" s="5" t="s">
        <v>149</v>
      </c>
      <c r="G47" s="5" t="s">
        <v>92</v>
      </c>
      <c r="H47" s="5" t="s">
        <v>82</v>
      </c>
      <c r="I47" s="15">
        <f t="array" ref="I47">IFERROR(INDEX('Team Ratings'!$B$2:$B$73,MATCH($G47,'Team Ratings'!$A$2:$A$73,0)),"")</f>
        <v>12</v>
      </c>
      <c r="J47" s="15">
        <f t="array" ref="J47">IFERROR(INDEX('Team Ratings'!$B$2:$B$73,MATCH($H47,'Team Ratings'!$A$2:$A$73,0)),"")</f>
        <v>4</v>
      </c>
      <c r="K47" s="12">
        <f>IF($S47=FALSE(),"",ROUND((0.35*IFERROR((U47-AVERAGE('Team Metrics'!$X$2:$X$65))/_xlfn.STDEV.P('Team Metrics'!$X$2:$X$65),0)) + (0.2*IFERROR((V47-AVERAGE('Team Metrics'!$W$2:$W$65))/_xlfn.STDEV.P('Team Metrics'!$W$2:$W$65),0)) + (0.15*IFERROR((W47-AVERAGE('Team Metrics'!$Y$2:$Y$65))/_xlfn.STDEV.P('Team Metrics'!$Y$2:$Y$65),0)) + (0.1*IFERROR((X47-AVERAGE('Team Metrics'!$Z$2:$Z$65))/_xlfn.STDEV.P('Team Metrics'!$Z$2:$Z$65),0)) + (0.1*IFERROR((Y47-AVERAGE('Team Metrics'!$AA$2:$AA$65))/_xlfn.STDEV.P('Team Metrics'!$AA$2:$AA$65),0)) + (0.05*IFERROR((Z47-AVERAGE('Team Metrics'!$AB$2:$AB$65))/_xlfn.STDEV.P('Team Metrics'!$AB$2:$AB$65),0)) + (0.05*IFERROR((AA47-AVERAGE('Team Metrics'!$S$2:$S$65))/IF(_xlfn.STDEV.P('Team Metrics'!$S$2:$S$65)=0,1,_xlfn.STDEV.P('Team Metrics'!$S$2:$S$65)),0)),4))</f>
        <v>-6.08E-2</v>
      </c>
      <c r="L47" s="12">
        <f>IF($S47=FALSE(),"",ROUND((0.35*IFERROR((AB47-AVERAGE('Team Metrics'!$X$2:$X$65))/_xlfn.STDEV.P('Team Metrics'!$X$2:$X$65),0)) + (0.2*IFERROR((AC47-AVERAGE('Team Metrics'!$W$2:$W$65))/_xlfn.STDEV.P('Team Metrics'!$W$2:$W$65),0)) + (0.15*IFERROR((AD47-AVERAGE('Team Metrics'!$Y$2:$Y$65))/_xlfn.STDEV.P('Team Metrics'!$Y$2:$Y$65),0)) + (0.1*IFERROR((AE47-AVERAGE('Team Metrics'!$Z$2:$Z$65))/_xlfn.STDEV.P('Team Metrics'!$Z$2:$Z$65),0)) + (0.1*IFERROR((AF47-AVERAGE('Team Metrics'!$AA$2:$AA$65))/_xlfn.STDEV.P('Team Metrics'!$AA$2:$AA$65),0)) + (0.05*IFERROR((AG47-AVERAGE('Team Metrics'!$AB$2:$AB$65))/_xlfn.STDEV.P('Team Metrics'!$AB$2:$AB$65),0)) + (0.05*IFERROR((AH47-AVERAGE('Team Metrics'!$S$2:$S$65))/IF(_xlfn.STDEV.P('Team Metrics'!$S$2:$S$65)=0,1,_xlfn.STDEV.P('Team Metrics'!$S$2:$S$65)),0)),4))</f>
        <v>-0.2165</v>
      </c>
      <c r="M47" s="12">
        <f t="shared" si="8"/>
        <v>0.15570000000000001</v>
      </c>
      <c r="N47" s="10" t="str">
        <f t="shared" si="9"/>
        <v>Akron</v>
      </c>
      <c r="O47" s="7">
        <f t="shared" si="10"/>
        <v>51.9</v>
      </c>
      <c r="P47" s="5" t="str">
        <f t="shared" si="11"/>
        <v>UPSET</v>
      </c>
      <c r="Q47" s="5" t="s">
        <v>209</v>
      </c>
      <c r="R47" s="5" t="s">
        <v>132</v>
      </c>
      <c r="S47" s="10" t="b">
        <f t="shared" si="12"/>
        <v>1</v>
      </c>
      <c r="T47" s="5" t="str">
        <f t="shared" si="13"/>
        <v>ΔComposite=0.16; AdjNET Δ=-13.5; 3PT Δ=4.3; TO Δ=8.3; REB Δ=-1.2</v>
      </c>
      <c r="U47" s="16">
        <f t="array" ref="U47">IF($S47=FALSE(),"",ROUND((0.75*INDEX('Team Ratings'!$G$2:$G$73,MATCH($G47,'Team Ratings'!$A$2:$A$73,0)))+(0.25*INDEX('Team Ratings'!$T$2:$T$73,MATCH($G47,'Team Ratings'!$A$2:$A$73,0))),3))</f>
        <v>11.175000000000001</v>
      </c>
      <c r="V47" s="16">
        <f t="array" ref="V47">IF($S47=FALSE(),"",ROUND(INDEX('Team Ratings'!$T$2:$T$73,MATCH($G47,'Team Ratings'!$A$2:$A$73,0))-INDEX('Team Ratings'!$G$2:$G$73,MATCH($G47,'Team Ratings'!$A$2:$A$73,0)),3))</f>
        <v>-2.5</v>
      </c>
      <c r="W47" s="16">
        <f t="array" ref="W47">IF($S47=FALSE(),"",ROUND(INDEX('Team Ratings'!$O$2:$O$73,MATCH($G47,'Team Ratings'!$A$2:$A$73,0))-INDEX('Team Ratings'!$P$2:$P$73,MATCH($H47,'Team Ratings'!$A$2:$A$73,0)),3))</f>
        <v>5</v>
      </c>
      <c r="X47" s="16">
        <f t="array" ref="X47">IF($S47=FALSE(),"",ROUND(INDEX('Team Ratings'!$K$2:$K$73,MATCH($G47,'Team Ratings'!$A$2:$A$73,0))-INDEX('Team Ratings'!$J$2:$J$73,MATCH($H47,'Team Ratings'!$A$2:$A$73,0)),3))</f>
        <v>5.4</v>
      </c>
      <c r="Y47" s="16">
        <f t="array" ref="Y47">IF($S47=FALSE(),"",ROUND(MAX(0,MIN(10,5+((INDEX('Team Ratings'!$L$2:$L$73,MATCH($G47,'Team Ratings'!$A$2:$A$73,0))-INDEX('Team Ratings'!$M$2:$M$73,MATCH($H47,'Team Ratings'!$A$2:$A$73,0)))+(INDEX('Team Ratings'!$M$2:$M$73,MATCH($G47,'Team Ratings'!$A$2:$A$73,0))-INDEX('Team Ratings'!$L$2:$L$73,MATCH($H47,'Team Ratings'!$A$2:$A$73,0))))/2)),3))</f>
        <v>4.4000000000000004</v>
      </c>
      <c r="Z47" s="16">
        <f t="array" ref="Z47">IF($S47=FALSE(),"",ROUND((1/I47)*4 + (INDEX('Team Ratings'!$T$2:$T$73,MATCH($G47,'Team Ratings'!$A$2:$A$73,0))/MAX('Team Ratings'!$T$2:$T$73))*4 + (1-(INDEX('Team Ratings'!$J$2:$J$73,MATCH($G47,'Team Ratings'!$A$2:$A$73,0))/MAX('Team Ratings'!$J$2:$J$73)))*2 + (INDEX('Team Ratings'!$N$2:$N$73,MATCH($G47,'Team Ratings'!$A$2:$A$73,0))/MAX('Team Ratings'!$N$2:$N$73)) + (INDEX('Team Ratings'!$M$2:$M$73,MATCH($G47,'Team Ratings'!$A$2:$A$73,0))/MAX('Team Ratings'!$M$2:$M$73)),2))</f>
        <v>3.19</v>
      </c>
      <c r="AA47" s="16">
        <f t="array" ref="AA47">IF($S47=FALSE(),"",IFERROR(INDEX('Team Ratings'!$Q$2:$Q$73,MATCH($G47,'Team Ratings'!$A$2:$A$73,0)),0))</f>
        <v>0</v>
      </c>
      <c r="AB47" s="16">
        <f t="array" ref="AB47">IF($S47=FALSE(),"",ROUND((0.75*INDEX('Team Ratings'!$G$2:$G$73,MATCH($H47,'Team Ratings'!$A$2:$A$73,0)))+(0.25*INDEX('Team Ratings'!$T$2:$T$73,MATCH($H47,'Team Ratings'!$A$2:$A$73,0))),3))</f>
        <v>24.7</v>
      </c>
      <c r="AC47" s="16">
        <f t="array" ref="AC47">IF($S47=FALSE(),"",ROUND(INDEX('Team Ratings'!$T$2:$T$73,MATCH($H47,'Team Ratings'!$A$2:$A$73,0))-INDEX('Team Ratings'!$G$2:$G$73,MATCH($H47,'Team Ratings'!$A$2:$A$73,0)),3))</f>
        <v>-8</v>
      </c>
      <c r="AD47" s="16">
        <f t="array" ref="AD47">IF($S47=FALSE(),"",ROUND(INDEX('Team Ratings'!$O$2:$O$73,MATCH($H47,'Team Ratings'!$A$2:$A$73,0))-INDEX('Team Ratings'!$P$2:$P$73,MATCH($G47,'Team Ratings'!$A$2:$A$73,0)),3))</f>
        <v>0.7</v>
      </c>
      <c r="AE47" s="16">
        <f t="array" ref="AE47">IF($S47=FALSE(),"",ROUND(INDEX('Team Ratings'!$K$2:$K$73,MATCH($H47,'Team Ratings'!$A$2:$A$73,0))-INDEX('Team Ratings'!$J$2:$J$73,MATCH($G47,'Team Ratings'!$A$2:$A$73,0)),3))</f>
        <v>-2.9</v>
      </c>
      <c r="AF47" s="16">
        <f t="array" ref="AF47">IF($S47=FALSE(),"",ROUND(MAX(0,MIN(10,5+((INDEX('Team Ratings'!$L$2:$L$73,MATCH($H47,'Team Ratings'!$A$2:$A$73,0))-INDEX('Team Ratings'!$M$2:$M$73,MATCH($G47,'Team Ratings'!$A$2:$A$73,0)))+(INDEX('Team Ratings'!$M$2:$M$73,MATCH($H47,'Team Ratings'!$A$2:$A$73,0))-INDEX('Team Ratings'!$L$2:$L$73,MATCH($G47,'Team Ratings'!$A$2:$A$73,0))))/2)),3))</f>
        <v>5.6</v>
      </c>
      <c r="AG47" s="16">
        <f t="array" ref="AG47">IF($S47=FALSE(),"",ROUND((1/J47)*4 + (INDEX('Team Ratings'!$T$2:$T$73,MATCH($H47,'Team Ratings'!$A$2:$A$73,0))/MAX('Team Ratings'!$T$2:$T$73))*4 + (1-(INDEX('Team Ratings'!$J$2:$J$73,MATCH($H47,'Team Ratings'!$A$2:$A$73,0))/MAX('Team Ratings'!$J$2:$J$73)))*2 + (INDEX('Team Ratings'!$N$2:$N$73,MATCH($H47,'Team Ratings'!$A$2:$A$73,0))/MAX('Team Ratings'!$N$2:$N$73)) + (INDEX('Team Ratings'!$M$2:$M$73,MATCH($H47,'Team Ratings'!$A$2:$A$73,0))/MAX('Team Ratings'!$M$2:$M$73)),2))</f>
        <v>5.32</v>
      </c>
      <c r="AH47" s="16">
        <f t="array" ref="AH47">IF($S47=FALSE(),"",IFERROR(INDEX('Team Ratings'!$Q$2:$Q$73,MATCH($H47,'Team Ratings'!$A$2:$A$73,0)),0))</f>
        <v>0</v>
      </c>
      <c r="AI47" s="10" t="b">
        <f t="shared" si="14"/>
        <v>1</v>
      </c>
      <c r="AJ47" s="10"/>
      <c r="AK47" s="10" t="str">
        <f t="shared" si="15"/>
        <v>Akron</v>
      </c>
      <c r="AL47" s="10">
        <v>9</v>
      </c>
    </row>
    <row r="48" spans="1:38" ht="20" customHeight="1" x14ac:dyDescent="0.2">
      <c r="A48" s="14" t="s">
        <v>142</v>
      </c>
      <c r="B48" s="14" t="s">
        <v>202</v>
      </c>
      <c r="C48" s="5">
        <f>_xlfn.SWITCH(B48,
 "Round 1",1,
 "Round 2",2,
 "Sweet 16",3,
 "Elite 8",4,
 "Final Four",5,
 "Championship",6
)*100
+
COUNTIF($B$2:B48,B48)</f>
        <v>215</v>
      </c>
      <c r="D48" s="5" t="s">
        <v>79</v>
      </c>
      <c r="E48" s="5" t="s">
        <v>160</v>
      </c>
      <c r="F48" s="5" t="s">
        <v>141</v>
      </c>
      <c r="G48" s="5" t="s">
        <v>84</v>
      </c>
      <c r="H48" s="5" t="s">
        <v>81</v>
      </c>
      <c r="I48" s="15">
        <f t="array" ref="I48">IFERROR(INDEX('Team Ratings'!$B$2:$B$73,MATCH($G48,'Team Ratings'!$A$2:$A$73,0)),"")</f>
        <v>6</v>
      </c>
      <c r="J48" s="15">
        <f t="array" ref="J48">IFERROR(INDEX('Team Ratings'!$B$2:$B$73,MATCH($H48,'Team Ratings'!$A$2:$A$73,0)),"")</f>
        <v>3</v>
      </c>
      <c r="K48" s="12">
        <f>IF($S48=FALSE(),"",ROUND((0.35*IFERROR((U48-AVERAGE('Team Metrics'!$X$2:$X$65))/_xlfn.STDEV.P('Team Metrics'!$X$2:$X$65),0)) + (0.2*IFERROR((V48-AVERAGE('Team Metrics'!$W$2:$W$65))/_xlfn.STDEV.P('Team Metrics'!$W$2:$W$65),0)) + (0.15*IFERROR((W48-AVERAGE('Team Metrics'!$Y$2:$Y$65))/_xlfn.STDEV.P('Team Metrics'!$Y$2:$Y$65),0)) + (0.1*IFERROR((X48-AVERAGE('Team Metrics'!$Z$2:$Z$65))/_xlfn.STDEV.P('Team Metrics'!$Z$2:$Z$65),0)) + (0.1*IFERROR((Y48-AVERAGE('Team Metrics'!$AA$2:$AA$65))/_xlfn.STDEV.P('Team Metrics'!$AA$2:$AA$65),0)) + (0.05*IFERROR((Z48-AVERAGE('Team Metrics'!$AB$2:$AB$65))/_xlfn.STDEV.P('Team Metrics'!$AB$2:$AB$65),0)) + (0.05*IFERROR((AA48-AVERAGE('Team Metrics'!$S$2:$S$65))/IF(_xlfn.STDEV.P('Team Metrics'!$S$2:$S$65)=0,1,_xlfn.STDEV.P('Team Metrics'!$S$2:$S$65)),0)),4))</f>
        <v>0.20369999999999999</v>
      </c>
      <c r="L48" s="12">
        <f>IF($S48=FALSE(),"",ROUND((0.35*IFERROR((AB48-AVERAGE('Team Metrics'!$X$2:$X$65))/_xlfn.STDEV.P('Team Metrics'!$X$2:$X$65),0)) + (0.2*IFERROR((AC48-AVERAGE('Team Metrics'!$W$2:$W$65))/_xlfn.STDEV.P('Team Metrics'!$W$2:$W$65),0)) + (0.15*IFERROR((AD48-AVERAGE('Team Metrics'!$Y$2:$Y$65))/_xlfn.STDEV.P('Team Metrics'!$Y$2:$Y$65),0)) + (0.1*IFERROR((AE48-AVERAGE('Team Metrics'!$Z$2:$Z$65))/_xlfn.STDEV.P('Team Metrics'!$Z$2:$Z$65),0)) + (0.1*IFERROR((AF48-AVERAGE('Team Metrics'!$AA$2:$AA$65))/_xlfn.STDEV.P('Team Metrics'!$AA$2:$AA$65),0)) + (0.05*IFERROR((AG48-AVERAGE('Team Metrics'!$AB$2:$AB$65))/_xlfn.STDEV.P('Team Metrics'!$AB$2:$AB$65),0)) + (0.05*IFERROR((AH48-AVERAGE('Team Metrics'!$S$2:$S$65))/IF(_xlfn.STDEV.P('Team Metrics'!$S$2:$S$65)=0,1,_xlfn.STDEV.P('Team Metrics'!$S$2:$S$65)),0)),4))</f>
        <v>0.40239999999999998</v>
      </c>
      <c r="M48" s="12">
        <f t="shared" si="8"/>
        <v>-0.19869999999999999</v>
      </c>
      <c r="N48" s="10" t="str">
        <f t="shared" si="9"/>
        <v>Virginia</v>
      </c>
      <c r="O48" s="7">
        <f t="shared" si="10"/>
        <v>52.4</v>
      </c>
      <c r="P48" s="5" t="str">
        <f t="shared" si="11"/>
        <v/>
      </c>
      <c r="Q48" s="5" t="s">
        <v>210</v>
      </c>
      <c r="R48" s="5" t="s">
        <v>123</v>
      </c>
      <c r="S48" s="10" t="b">
        <f t="shared" si="12"/>
        <v>1</v>
      </c>
      <c r="T48" s="5" t="str">
        <f t="shared" si="13"/>
        <v>ΔComposite=0.2; AdjNET Δ=-2.4; 3PT Δ=-2.8; TO Δ=1.8; REB Δ=5.9</v>
      </c>
      <c r="U48" s="16">
        <f t="array" ref="U48">IF($S48=FALSE(),"",ROUND((0.75*INDEX('Team Ratings'!$G$2:$G$73,MATCH($G48,'Team Ratings'!$A$2:$A$73,0)))+(0.25*INDEX('Team Ratings'!$T$2:$T$73,MATCH($G48,'Team Ratings'!$A$2:$A$73,0))),3))</f>
        <v>25.2</v>
      </c>
      <c r="V48" s="16">
        <f t="array" ref="V48">IF($S48=FALSE(),"",ROUND(INDEX('Team Ratings'!$T$2:$T$73,MATCH($G48,'Team Ratings'!$A$2:$A$73,0))-INDEX('Team Ratings'!$G$2:$G$73,MATCH($G48,'Team Ratings'!$A$2:$A$73,0)),3))</f>
        <v>-3.2</v>
      </c>
      <c r="W48" s="16">
        <f t="array" ref="W48">IF($S48=FALSE(),"",ROUND(INDEX('Team Ratings'!$O$2:$O$73,MATCH($G48,'Team Ratings'!$A$2:$A$73,0))-INDEX('Team Ratings'!$P$2:$P$73,MATCH($H48,'Team Ratings'!$A$2:$A$73,0)),3))</f>
        <v>2.5</v>
      </c>
      <c r="X48" s="16">
        <f t="array" ref="X48">IF($S48=FALSE(),"",ROUND(INDEX('Team Ratings'!$K$2:$K$73,MATCH($G48,'Team Ratings'!$A$2:$A$73,0))-INDEX('Team Ratings'!$J$2:$J$73,MATCH($H48,'Team Ratings'!$A$2:$A$73,0)),3))</f>
        <v>0.3</v>
      </c>
      <c r="Y48" s="16">
        <f t="array" ref="Y48">IF($S48=FALSE(),"",ROUND(MAX(0,MIN(10,5+((INDEX('Team Ratings'!$L$2:$L$73,MATCH($G48,'Team Ratings'!$A$2:$A$73,0))-INDEX('Team Ratings'!$M$2:$M$73,MATCH($H48,'Team Ratings'!$A$2:$A$73,0)))+(INDEX('Team Ratings'!$M$2:$M$73,MATCH($G48,'Team Ratings'!$A$2:$A$73,0))-INDEX('Team Ratings'!$L$2:$L$73,MATCH($H48,'Team Ratings'!$A$2:$A$73,0))))/2)),3))</f>
        <v>7.95</v>
      </c>
      <c r="Z48" s="16">
        <f t="array" ref="Z48">IF($S48=FALSE(),"",ROUND((1/I48)*4 + (INDEX('Team Ratings'!$T$2:$T$73,MATCH($G48,'Team Ratings'!$A$2:$A$73,0))/MAX('Team Ratings'!$T$2:$T$73))*4 + (1-(INDEX('Team Ratings'!$J$2:$J$73,MATCH($G48,'Team Ratings'!$A$2:$A$73,0))/MAX('Team Ratings'!$J$2:$J$73)))*2 + (INDEX('Team Ratings'!$N$2:$N$73,MATCH($G48,'Team Ratings'!$A$2:$A$73,0))/MAX('Team Ratings'!$N$2:$N$73)) + (INDEX('Team Ratings'!$M$2:$M$73,MATCH($G48,'Team Ratings'!$A$2:$A$73,0))/MAX('Team Ratings'!$M$2:$M$73)),2))</f>
        <v>4.88</v>
      </c>
      <c r="AA48" s="16">
        <f t="array" ref="AA48">IF($S48=FALSE(),"",IFERROR(INDEX('Team Ratings'!$Q$2:$Q$73,MATCH($G48,'Team Ratings'!$A$2:$A$73,0)),0))</f>
        <v>0</v>
      </c>
      <c r="AB48" s="16">
        <f t="array" ref="AB48">IF($S48=FALSE(),"",ROUND((0.75*INDEX('Team Ratings'!$G$2:$G$73,MATCH($H48,'Team Ratings'!$A$2:$A$73,0)))+(0.25*INDEX('Team Ratings'!$T$2:$T$73,MATCH($H48,'Team Ratings'!$A$2:$A$73,0))),3))</f>
        <v>27.55</v>
      </c>
      <c r="AC48" s="16">
        <f t="array" ref="AC48">IF($S48=FALSE(),"",ROUND(INDEX('Team Ratings'!$T$2:$T$73,MATCH($H48,'Team Ratings'!$A$2:$A$73,0))-INDEX('Team Ratings'!$G$2:$G$73,MATCH($H48,'Team Ratings'!$A$2:$A$73,0)),3))</f>
        <v>4.2</v>
      </c>
      <c r="AD48" s="16">
        <f t="array" ref="AD48">IF($S48=FALSE(),"",ROUND(INDEX('Team Ratings'!$O$2:$O$73,MATCH($H48,'Team Ratings'!$A$2:$A$73,0))-INDEX('Team Ratings'!$P$2:$P$73,MATCH($G48,'Team Ratings'!$A$2:$A$73,0)),3))</f>
        <v>5.3</v>
      </c>
      <c r="AE48" s="16">
        <f t="array" ref="AE48">IF($S48=FALSE(),"",ROUND(INDEX('Team Ratings'!$K$2:$K$73,MATCH($H48,'Team Ratings'!$A$2:$A$73,0))-INDEX('Team Ratings'!$J$2:$J$73,MATCH($G48,'Team Ratings'!$A$2:$A$73,0)),3))</f>
        <v>-1.5</v>
      </c>
      <c r="AF48" s="16">
        <f t="array" ref="AF48">IF($S48=FALSE(),"",ROUND(MAX(0,MIN(10,5+((INDEX('Team Ratings'!$L$2:$L$73,MATCH($H48,'Team Ratings'!$A$2:$A$73,0))-INDEX('Team Ratings'!$M$2:$M$73,MATCH($G48,'Team Ratings'!$A$2:$A$73,0)))+(INDEX('Team Ratings'!$M$2:$M$73,MATCH($H48,'Team Ratings'!$A$2:$A$73,0))-INDEX('Team Ratings'!$L$2:$L$73,MATCH($G48,'Team Ratings'!$A$2:$A$73,0))))/2)),3))</f>
        <v>2.0499999999999998</v>
      </c>
      <c r="AG48" s="16">
        <f t="array" ref="AG48">IF($S48=FALSE(),"",ROUND((1/J48)*4 + (INDEX('Team Ratings'!$T$2:$T$73,MATCH($H48,'Team Ratings'!$A$2:$A$73,0))/MAX('Team Ratings'!$T$2:$T$73))*4 + (1-(INDEX('Team Ratings'!$J$2:$J$73,MATCH($H48,'Team Ratings'!$A$2:$A$73,0))/MAX('Team Ratings'!$J$2:$J$73)))*2 + (INDEX('Team Ratings'!$N$2:$N$73,MATCH($H48,'Team Ratings'!$A$2:$A$73,0))/MAX('Team Ratings'!$N$2:$N$73)) + (INDEX('Team Ratings'!$M$2:$M$73,MATCH($H48,'Team Ratings'!$A$2:$A$73,0))/MAX('Team Ratings'!$M$2:$M$73)),2))</f>
        <v>6.37</v>
      </c>
      <c r="AH48" s="16">
        <f t="array" ref="AH48">IF($S48=FALSE(),"",IFERROR(INDEX('Team Ratings'!$Q$2:$Q$73,MATCH($H48,'Team Ratings'!$A$2:$A$73,0)),0))</f>
        <v>0</v>
      </c>
      <c r="AI48" s="10" t="b">
        <f t="shared" si="14"/>
        <v>1</v>
      </c>
      <c r="AJ48" s="10"/>
      <c r="AK48" s="10" t="str">
        <f t="shared" si="15"/>
        <v>Virginia</v>
      </c>
      <c r="AL48" s="10">
        <v>9</v>
      </c>
    </row>
    <row r="49" spans="1:38" ht="20" customHeight="1" x14ac:dyDescent="0.2">
      <c r="A49" s="14" t="s">
        <v>134</v>
      </c>
      <c r="B49" s="14" t="s">
        <v>202</v>
      </c>
      <c r="C49" s="5">
        <f>_xlfn.SWITCH(B49,
 "Round 1",1,
 "Round 2",2,
 "Sweet 16",3,
 "Elite 8",4,
 "Final Four",5,
 "Championship",6
)*100
+
COUNTIF($B$2:B49,B49)</f>
        <v>216</v>
      </c>
      <c r="D49" s="5" t="s">
        <v>79</v>
      </c>
      <c r="E49" s="5" t="s">
        <v>164</v>
      </c>
      <c r="F49" s="5" t="s">
        <v>133</v>
      </c>
      <c r="G49" s="5" t="s">
        <v>88</v>
      </c>
      <c r="H49" s="5" t="s">
        <v>80</v>
      </c>
      <c r="I49" s="15">
        <f t="array" ref="I49">IFERROR(INDEX('Team Ratings'!$B$2:$B$73,MATCH($G49,'Team Ratings'!$A$2:$A$73,0)),"")</f>
        <v>10</v>
      </c>
      <c r="J49" s="15">
        <f t="array" ref="J49">IFERROR(INDEX('Team Ratings'!$B$2:$B$73,MATCH($H49,'Team Ratings'!$A$2:$A$73,0)),"")</f>
        <v>2</v>
      </c>
      <c r="K49" s="12">
        <f>IF($S49=FALSE(),"",ROUND((0.35*IFERROR((U49-AVERAGE('Team Metrics'!$X$2:$X$65))/_xlfn.STDEV.P('Team Metrics'!$X$2:$X$65),0)) + (0.2*IFERROR((V49-AVERAGE('Team Metrics'!$W$2:$W$65))/_xlfn.STDEV.P('Team Metrics'!$W$2:$W$65),0)) + (0.15*IFERROR((W49-AVERAGE('Team Metrics'!$Y$2:$Y$65))/_xlfn.STDEV.P('Team Metrics'!$Y$2:$Y$65),0)) + (0.1*IFERROR((X49-AVERAGE('Team Metrics'!$Z$2:$Z$65))/_xlfn.STDEV.P('Team Metrics'!$Z$2:$Z$65),0)) + (0.1*IFERROR((Y49-AVERAGE('Team Metrics'!$AA$2:$AA$65))/_xlfn.STDEV.P('Team Metrics'!$AA$2:$AA$65),0)) + (0.05*IFERROR((Z49-AVERAGE('Team Metrics'!$AB$2:$AB$65))/_xlfn.STDEV.P('Team Metrics'!$AB$2:$AB$65),0)) + (0.05*IFERROR((AA49-AVERAGE('Team Metrics'!$S$2:$S$65))/IF(_xlfn.STDEV.P('Team Metrics'!$S$2:$S$65)=0,1,_xlfn.STDEV.P('Team Metrics'!$S$2:$S$65)),0)),4))</f>
        <v>0.47670000000000001</v>
      </c>
      <c r="L49" s="12">
        <f>IF($S49=FALSE(),"",ROUND((0.35*IFERROR((AB49-AVERAGE('Team Metrics'!$X$2:$X$65))/_xlfn.STDEV.P('Team Metrics'!$X$2:$X$65),0)) + (0.2*IFERROR((AC49-AVERAGE('Team Metrics'!$W$2:$W$65))/_xlfn.STDEV.P('Team Metrics'!$W$2:$W$65),0)) + (0.15*IFERROR((AD49-AVERAGE('Team Metrics'!$Y$2:$Y$65))/_xlfn.STDEV.P('Team Metrics'!$Y$2:$Y$65),0)) + (0.1*IFERROR((AE49-AVERAGE('Team Metrics'!$Z$2:$Z$65))/_xlfn.STDEV.P('Team Metrics'!$Z$2:$Z$65),0)) + (0.1*IFERROR((AF49-AVERAGE('Team Metrics'!$AA$2:$AA$65))/_xlfn.STDEV.P('Team Metrics'!$AA$2:$AA$65),0)) + (0.05*IFERROR((AG49-AVERAGE('Team Metrics'!$AB$2:$AB$65))/_xlfn.STDEV.P('Team Metrics'!$AB$2:$AB$65),0)) + (0.05*IFERROR((AH49-AVERAGE('Team Metrics'!$S$2:$S$65))/IF(_xlfn.STDEV.P('Team Metrics'!$S$2:$S$65)=0,1,_xlfn.STDEV.P('Team Metrics'!$S$2:$S$65)),0)),4))</f>
        <v>1.0257000000000001</v>
      </c>
      <c r="M49" s="12">
        <f t="shared" si="8"/>
        <v>-0.54900000000000004</v>
      </c>
      <c r="N49" s="10" t="str">
        <f t="shared" si="9"/>
        <v>Iowa St.</v>
      </c>
      <c r="O49" s="7">
        <f t="shared" si="10"/>
        <v>56.6</v>
      </c>
      <c r="P49" s="5" t="str">
        <f t="shared" si="11"/>
        <v/>
      </c>
      <c r="Q49" s="5" t="s">
        <v>210</v>
      </c>
      <c r="R49" s="5" t="s">
        <v>132</v>
      </c>
      <c r="S49" s="10" t="b">
        <f t="shared" si="12"/>
        <v>1</v>
      </c>
      <c r="T49" s="5" t="str">
        <f t="shared" si="13"/>
        <v>ΔComposite=0.55; AdjNET Δ=-10.8; 3PT Δ=-2.9; TO Δ=-1.8; REB Δ=5.6</v>
      </c>
      <c r="U49" s="16">
        <f t="array" ref="U49">IF($S49=FALSE(),"",ROUND((0.75*INDEX('Team Ratings'!$G$2:$G$73,MATCH($G49,'Team Ratings'!$A$2:$A$73,0)))+(0.25*INDEX('Team Ratings'!$T$2:$T$73,MATCH($G49,'Team Ratings'!$A$2:$A$73,0))),3))</f>
        <v>22.4</v>
      </c>
      <c r="V49" s="16">
        <f t="array" ref="V49">IF($S49=FALSE(),"",ROUND(INDEX('Team Ratings'!$T$2:$T$73,MATCH($G49,'Team Ratings'!$A$2:$A$73,0))-INDEX('Team Ratings'!$G$2:$G$73,MATCH($G49,'Team Ratings'!$A$2:$A$73,0)),3))</f>
        <v>4.8</v>
      </c>
      <c r="W49" s="16">
        <f t="array" ref="W49">IF($S49=FALSE(),"",ROUND(INDEX('Team Ratings'!$O$2:$O$73,MATCH($G49,'Team Ratings'!$A$2:$A$73,0))-INDEX('Team Ratings'!$P$2:$P$73,MATCH($H49,'Team Ratings'!$A$2:$A$73,0)),3))</f>
        <v>2.8</v>
      </c>
      <c r="X49" s="16">
        <f t="array" ref="X49">IF($S49=FALSE(),"",ROUND(INDEX('Team Ratings'!$K$2:$K$73,MATCH($G49,'Team Ratings'!$A$2:$A$73,0))-INDEX('Team Ratings'!$J$2:$J$73,MATCH($H49,'Team Ratings'!$A$2:$A$73,0)),3))</f>
        <v>5</v>
      </c>
      <c r="Y49" s="16">
        <f t="array" ref="Y49">IF($S49=FALSE(),"",ROUND(MAX(0,MIN(10,5+((INDEX('Team Ratings'!$L$2:$L$73,MATCH($G49,'Team Ratings'!$A$2:$A$73,0))-INDEX('Team Ratings'!$M$2:$M$73,MATCH($H49,'Team Ratings'!$A$2:$A$73,0)))+(INDEX('Team Ratings'!$M$2:$M$73,MATCH($G49,'Team Ratings'!$A$2:$A$73,0))-INDEX('Team Ratings'!$L$2:$L$73,MATCH($H49,'Team Ratings'!$A$2:$A$73,0))))/2)),3))</f>
        <v>7.8</v>
      </c>
      <c r="Z49" s="16">
        <f t="array" ref="Z49">IF($S49=FALSE(),"",ROUND((1/I49)*4 + (INDEX('Team Ratings'!$T$2:$T$73,MATCH($G49,'Team Ratings'!$A$2:$A$73,0))/MAX('Team Ratings'!$T$2:$T$73))*4 + (1-(INDEX('Team Ratings'!$J$2:$J$73,MATCH($G49,'Team Ratings'!$A$2:$A$73,0))/MAX('Team Ratings'!$J$2:$J$73)))*2 + (INDEX('Team Ratings'!$N$2:$N$73,MATCH($G49,'Team Ratings'!$A$2:$A$73,0))/MAX('Team Ratings'!$N$2:$N$73)) + (INDEX('Team Ratings'!$M$2:$M$73,MATCH($G49,'Team Ratings'!$A$2:$A$73,0))/MAX('Team Ratings'!$M$2:$M$73)),2))</f>
        <v>4.93</v>
      </c>
      <c r="AA49" s="16">
        <f t="array" ref="AA49">IF($S49=FALSE(),"",IFERROR(INDEX('Team Ratings'!$Q$2:$Q$73,MATCH($G49,'Team Ratings'!$A$2:$A$73,0)),0))</f>
        <v>0</v>
      </c>
      <c r="AB49" s="16">
        <f t="array" ref="AB49">IF($S49=FALSE(),"",ROUND((0.75*INDEX('Team Ratings'!$G$2:$G$73,MATCH($H49,'Team Ratings'!$A$2:$A$73,0)))+(0.25*INDEX('Team Ratings'!$T$2:$T$73,MATCH($H49,'Team Ratings'!$A$2:$A$73,0))),3))</f>
        <v>33.225000000000001</v>
      </c>
      <c r="AC49" s="16">
        <f t="array" ref="AC49">IF($S49=FALSE(),"",ROUND(INDEX('Team Ratings'!$T$2:$T$73,MATCH($H49,'Team Ratings'!$A$2:$A$73,0))-INDEX('Team Ratings'!$G$2:$G$73,MATCH($H49,'Team Ratings'!$A$2:$A$73,0)),3))</f>
        <v>8.1</v>
      </c>
      <c r="AD49" s="16">
        <f t="array" ref="AD49">IF($S49=FALSE(),"",ROUND(INDEX('Team Ratings'!$O$2:$O$73,MATCH($H49,'Team Ratings'!$A$2:$A$73,0))-INDEX('Team Ratings'!$P$2:$P$73,MATCH($G49,'Team Ratings'!$A$2:$A$73,0)),3))</f>
        <v>5.7</v>
      </c>
      <c r="AE49" s="16">
        <f t="array" ref="AE49">IF($S49=FALSE(),"",ROUND(INDEX('Team Ratings'!$K$2:$K$73,MATCH($H49,'Team Ratings'!$A$2:$A$73,0))-INDEX('Team Ratings'!$J$2:$J$73,MATCH($G49,'Team Ratings'!$A$2:$A$73,0)),3))</f>
        <v>6.8</v>
      </c>
      <c r="AF49" s="16">
        <f t="array" ref="AF49">IF($S49=FALSE(),"",ROUND(MAX(0,MIN(10,5+((INDEX('Team Ratings'!$L$2:$L$73,MATCH($H49,'Team Ratings'!$A$2:$A$73,0))-INDEX('Team Ratings'!$M$2:$M$73,MATCH($G49,'Team Ratings'!$A$2:$A$73,0)))+(INDEX('Team Ratings'!$M$2:$M$73,MATCH($H49,'Team Ratings'!$A$2:$A$73,0))-INDEX('Team Ratings'!$L$2:$L$73,MATCH($G49,'Team Ratings'!$A$2:$A$73,0))))/2)),3))</f>
        <v>2.2000000000000002</v>
      </c>
      <c r="AG49" s="16">
        <f t="array" ref="AG49">IF($S49=FALSE(),"",ROUND((1/J49)*4 + (INDEX('Team Ratings'!$T$2:$T$73,MATCH($H49,'Team Ratings'!$A$2:$A$73,0))/MAX('Team Ratings'!$T$2:$T$73))*4 + (1-(INDEX('Team Ratings'!$J$2:$J$73,MATCH($H49,'Team Ratings'!$A$2:$A$73,0))/MAX('Team Ratings'!$J$2:$J$73)))*2 + (INDEX('Team Ratings'!$N$2:$N$73,MATCH($H49,'Team Ratings'!$A$2:$A$73,0))/MAX('Team Ratings'!$N$2:$N$73)) + (INDEX('Team Ratings'!$M$2:$M$73,MATCH($H49,'Team Ratings'!$A$2:$A$73,0))/MAX('Team Ratings'!$M$2:$M$73)),2))</f>
        <v>7.98</v>
      </c>
      <c r="AH49" s="16">
        <f t="array" ref="AH49">IF($S49=FALSE(),"",IFERROR(INDEX('Team Ratings'!$Q$2:$Q$73,MATCH($H49,'Team Ratings'!$A$2:$A$73,0)),0))</f>
        <v>0</v>
      </c>
      <c r="AI49" s="10" t="b">
        <f t="shared" si="14"/>
        <v>1</v>
      </c>
      <c r="AJ49" s="10"/>
      <c r="AK49" s="10" t="str">
        <f t="shared" si="15"/>
        <v>Iowa St.</v>
      </c>
      <c r="AL49" s="10">
        <v>9</v>
      </c>
    </row>
    <row r="50" spans="1:38" ht="20" customHeight="1" x14ac:dyDescent="0.2">
      <c r="A50" s="14" t="s">
        <v>203</v>
      </c>
      <c r="B50" s="14" t="s">
        <v>211</v>
      </c>
      <c r="C50" s="5">
        <f>_xlfn.SWITCH(B50,
 "Round 1",1,
 "Round 2",2,
 "Sweet 16",3,
 "Elite 8",4,
 "Final Four",5,
 "Championship",6
)*100
+
COUNTIF($B$2:B50,B50)</f>
        <v>301</v>
      </c>
      <c r="D50" s="5" t="s">
        <v>22</v>
      </c>
      <c r="E50" s="5" t="s">
        <v>122</v>
      </c>
      <c r="F50" s="5" t="s">
        <v>148</v>
      </c>
      <c r="G50" s="5" t="s">
        <v>35</v>
      </c>
      <c r="H50" s="5" t="s">
        <v>24</v>
      </c>
      <c r="I50" s="15">
        <f t="array" ref="I50">IFERROR(INDEX('Team Ratings'!$B$2:$B$73,MATCH($G50,'Team Ratings'!$A$2:$A$73,0)),"")</f>
        <v>13</v>
      </c>
      <c r="J50" s="15">
        <f t="array" ref="J50">IFERROR(INDEX('Team Ratings'!$B$2:$B$73,MATCH($H50,'Team Ratings'!$A$2:$A$73,0)),"")</f>
        <v>2</v>
      </c>
      <c r="K50" s="12">
        <f>IF($S50=FALSE(),"",ROUND((0.35*IFERROR((U50-AVERAGE('Team Metrics'!$X$2:$X$65))/_xlfn.STDEV.P('Team Metrics'!$X$2:$X$65),0)) + (0.2*IFERROR((V50-AVERAGE('Team Metrics'!$W$2:$W$65))/_xlfn.STDEV.P('Team Metrics'!$W$2:$W$65),0)) + (0.15*IFERROR((W50-AVERAGE('Team Metrics'!$Y$2:$Y$65))/_xlfn.STDEV.P('Team Metrics'!$Y$2:$Y$65),0)) + (0.1*IFERROR((X50-AVERAGE('Team Metrics'!$Z$2:$Z$65))/_xlfn.STDEV.P('Team Metrics'!$Z$2:$Z$65),0)) + (0.1*IFERROR((Y50-AVERAGE('Team Metrics'!$AA$2:$AA$65))/_xlfn.STDEV.P('Team Metrics'!$AA$2:$AA$65),0)) + (0.05*IFERROR((Z50-AVERAGE('Team Metrics'!$AB$2:$AB$65))/_xlfn.STDEV.P('Team Metrics'!$AB$2:$AB$65),0)) + (0.05*IFERROR((AA50-AVERAGE('Team Metrics'!$S$2:$S$65))/IF(_xlfn.STDEV.P('Team Metrics'!$S$2:$S$65)=0,1,_xlfn.STDEV.P('Team Metrics'!$S$2:$S$65)),0)),4))</f>
        <v>2.52E-2</v>
      </c>
      <c r="L50" s="12">
        <f>IF($S50=FALSE(),"",ROUND((0.35*IFERROR((AB50-AVERAGE('Team Metrics'!$X$2:$X$65))/_xlfn.STDEV.P('Team Metrics'!$X$2:$X$65),0)) + (0.2*IFERROR((AC50-AVERAGE('Team Metrics'!$W$2:$W$65))/_xlfn.STDEV.P('Team Metrics'!$W$2:$W$65),0)) + (0.15*IFERROR((AD50-AVERAGE('Team Metrics'!$Y$2:$Y$65))/_xlfn.STDEV.P('Team Metrics'!$Y$2:$Y$65),0)) + (0.1*IFERROR((AE50-AVERAGE('Team Metrics'!$Z$2:$Z$65))/_xlfn.STDEV.P('Team Metrics'!$Z$2:$Z$65),0)) + (0.1*IFERROR((AF50-AVERAGE('Team Metrics'!$AA$2:$AA$65))/_xlfn.STDEV.P('Team Metrics'!$AA$2:$AA$65),0)) + (0.05*IFERROR((AG50-AVERAGE('Team Metrics'!$AB$2:$AB$65))/_xlfn.STDEV.P('Team Metrics'!$AB$2:$AB$65),0)) + (0.05*IFERROR((AH50-AVERAGE('Team Metrics'!$S$2:$S$65))/IF(_xlfn.STDEV.P('Team Metrics'!$S$2:$S$65)=0,1,_xlfn.STDEV.P('Team Metrics'!$S$2:$S$65)),0)),4))</f>
        <v>0.18640000000000001</v>
      </c>
      <c r="M50" s="12">
        <f t="shared" si="8"/>
        <v>-0.16120000000000001</v>
      </c>
      <c r="N50" s="10" t="str">
        <f t="shared" si="9"/>
        <v>Connecticut</v>
      </c>
      <c r="O50" s="7">
        <f t="shared" si="10"/>
        <v>51.9</v>
      </c>
      <c r="P50" s="5" t="str">
        <f t="shared" si="11"/>
        <v/>
      </c>
      <c r="Q50" s="5" t="s">
        <v>212</v>
      </c>
      <c r="R50" s="5" t="s">
        <v>123</v>
      </c>
      <c r="S50" s="10" t="b">
        <f t="shared" si="12"/>
        <v>1</v>
      </c>
      <c r="T50" s="5" t="str">
        <f t="shared" si="13"/>
        <v>ΔComposite=0.16; AdjNET Δ=-15.8; 3PT Δ=-2.1; TO Δ=0.4; REB Δ=0.6</v>
      </c>
      <c r="U50" s="16">
        <f t="array" ref="U50">IF($S50=FALSE(),"",ROUND((0.75*INDEX('Team Ratings'!$G$2:$G$73,MATCH($G50,'Team Ratings'!$A$2:$A$73,0)))+(0.25*INDEX('Team Ratings'!$T$2:$T$73,MATCH($G50,'Team Ratings'!$A$2:$A$73,0))),3))</f>
        <v>10.175000000000001</v>
      </c>
      <c r="V50" s="16">
        <f t="array" ref="V50">IF($S50=FALSE(),"",ROUND(INDEX('Team Ratings'!$T$2:$T$73,MATCH($G50,'Team Ratings'!$A$2:$A$73,0))-INDEX('Team Ratings'!$G$2:$G$73,MATCH($G50,'Team Ratings'!$A$2:$A$73,0)),3))</f>
        <v>11.9</v>
      </c>
      <c r="W50" s="16">
        <f t="array" ref="W50">IF($S50=FALSE(),"",ROUND(INDEX('Team Ratings'!$O$2:$O$73,MATCH($G50,'Team Ratings'!$A$2:$A$73,0))-INDEX('Team Ratings'!$P$2:$P$73,MATCH($H50,'Team Ratings'!$A$2:$A$73,0)),3))</f>
        <v>3.4</v>
      </c>
      <c r="X50" s="16">
        <f t="array" ref="X50">IF($S50=FALSE(),"",ROUND(INDEX('Team Ratings'!$K$2:$K$73,MATCH($G50,'Team Ratings'!$A$2:$A$73,0))-INDEX('Team Ratings'!$J$2:$J$73,MATCH($H50,'Team Ratings'!$A$2:$A$73,0)),3))</f>
        <v>0.3</v>
      </c>
      <c r="Y50" s="16">
        <f t="array" ref="Y50">IF($S50=FALSE(),"",ROUND(MAX(0,MIN(10,5+((INDEX('Team Ratings'!$L$2:$L$73,MATCH($G50,'Team Ratings'!$A$2:$A$73,0))-INDEX('Team Ratings'!$M$2:$M$73,MATCH($H50,'Team Ratings'!$A$2:$A$73,0)))+(INDEX('Team Ratings'!$M$2:$M$73,MATCH($G50,'Team Ratings'!$A$2:$A$73,0))-INDEX('Team Ratings'!$L$2:$L$73,MATCH($H50,'Team Ratings'!$A$2:$A$73,0))))/2)),3))</f>
        <v>5.3</v>
      </c>
      <c r="Z50" s="16">
        <f t="array" ref="Z50">IF($S50=FALSE(),"",ROUND((1/I50)*4 + (INDEX('Team Ratings'!$T$2:$T$73,MATCH($G50,'Team Ratings'!$A$2:$A$73,0))/MAX('Team Ratings'!$T$2:$T$73))*4 + (1-(INDEX('Team Ratings'!$J$2:$J$73,MATCH($G50,'Team Ratings'!$A$2:$A$73,0))/MAX('Team Ratings'!$J$2:$J$73)))*2 + (INDEX('Team Ratings'!$N$2:$N$73,MATCH($G50,'Team Ratings'!$A$2:$A$73,0))/MAX('Team Ratings'!$N$2:$N$73)) + (INDEX('Team Ratings'!$M$2:$M$73,MATCH($G50,'Team Ratings'!$A$2:$A$73,0))/MAX('Team Ratings'!$M$2:$M$73)),2))</f>
        <v>3.97</v>
      </c>
      <c r="AA50" s="16">
        <f t="array" ref="AA50">IF($S50=FALSE(),"",IFERROR(INDEX('Team Ratings'!$Q$2:$Q$73,MATCH($G50,'Team Ratings'!$A$2:$A$73,0)),0))</f>
        <v>0</v>
      </c>
      <c r="AB50" s="16">
        <f t="array" ref="AB50">IF($S50=FALSE(),"",ROUND((0.75*INDEX('Team Ratings'!$G$2:$G$73,MATCH($H50,'Team Ratings'!$A$2:$A$73,0)))+(0.25*INDEX('Team Ratings'!$T$2:$T$73,MATCH($H50,'Team Ratings'!$A$2:$A$73,0))),3))</f>
        <v>25.95</v>
      </c>
      <c r="AC50" s="16">
        <f t="array" ref="AC50">IF($S50=FALSE(),"",ROUND(INDEX('Team Ratings'!$T$2:$T$73,MATCH($H50,'Team Ratings'!$A$2:$A$73,0))-INDEX('Team Ratings'!$G$2:$G$73,MATCH($H50,'Team Ratings'!$A$2:$A$73,0)),3))</f>
        <v>-8.6</v>
      </c>
      <c r="AD50" s="16">
        <f t="array" ref="AD50">IF($S50=FALSE(),"",ROUND(INDEX('Team Ratings'!$O$2:$O$73,MATCH($H50,'Team Ratings'!$A$2:$A$73,0))-INDEX('Team Ratings'!$P$2:$P$73,MATCH($G50,'Team Ratings'!$A$2:$A$73,0)),3))</f>
        <v>5.5</v>
      </c>
      <c r="AE50" s="16">
        <f t="array" ref="AE50">IF($S50=FALSE(),"",ROUND(INDEX('Team Ratings'!$K$2:$K$73,MATCH($H50,'Team Ratings'!$A$2:$A$73,0))-INDEX('Team Ratings'!$J$2:$J$73,MATCH($G50,'Team Ratings'!$A$2:$A$73,0)),3))</f>
        <v>-0.1</v>
      </c>
      <c r="AF50" s="16">
        <f t="array" ref="AF50">IF($S50=FALSE(),"",ROUND(MAX(0,MIN(10,5+((INDEX('Team Ratings'!$L$2:$L$73,MATCH($H50,'Team Ratings'!$A$2:$A$73,0))-INDEX('Team Ratings'!$M$2:$M$73,MATCH($G50,'Team Ratings'!$A$2:$A$73,0)))+(INDEX('Team Ratings'!$M$2:$M$73,MATCH($H50,'Team Ratings'!$A$2:$A$73,0))-INDEX('Team Ratings'!$L$2:$L$73,MATCH($G50,'Team Ratings'!$A$2:$A$73,0))))/2)),3))</f>
        <v>4.7</v>
      </c>
      <c r="AG50" s="16">
        <f t="array" ref="AG50">IF($S50=FALSE(),"",ROUND((1/J50)*4 + (INDEX('Team Ratings'!$T$2:$T$73,MATCH($H50,'Team Ratings'!$A$2:$A$73,0))/MAX('Team Ratings'!$T$2:$T$73))*4 + (1-(INDEX('Team Ratings'!$J$2:$J$73,MATCH($H50,'Team Ratings'!$A$2:$A$73,0))/MAX('Team Ratings'!$J$2:$J$73)))*2 + (INDEX('Team Ratings'!$N$2:$N$73,MATCH($H50,'Team Ratings'!$A$2:$A$73,0))/MAX('Team Ratings'!$N$2:$N$73)) + (INDEX('Team Ratings'!$M$2:$M$73,MATCH($H50,'Team Ratings'!$A$2:$A$73,0))/MAX('Team Ratings'!$M$2:$M$73)),2))</f>
        <v>5.74</v>
      </c>
      <c r="AH50" s="16">
        <f t="array" ref="AH50">IF($S50=FALSE(),"",IFERROR(INDEX('Team Ratings'!$Q$2:$Q$73,MATCH($H50,'Team Ratings'!$A$2:$A$73,0)),0))</f>
        <v>0</v>
      </c>
      <c r="AI50" s="10" t="b">
        <f t="shared" si="14"/>
        <v>1</v>
      </c>
      <c r="AJ50" s="10"/>
      <c r="AK50" s="10" t="str">
        <f t="shared" si="15"/>
        <v>Connecticut</v>
      </c>
      <c r="AL50" s="10">
        <v>9</v>
      </c>
    </row>
    <row r="51" spans="1:38" ht="20" customHeight="1" x14ac:dyDescent="0.2">
      <c r="A51" s="14" t="s">
        <v>204</v>
      </c>
      <c r="B51" s="14" t="s">
        <v>211</v>
      </c>
      <c r="C51" s="5">
        <f>_xlfn.SWITCH(B51,
 "Round 1",1,
 "Round 2",2,
 "Sweet 16",3,
 "Elite 8",4,
 "Final Four",5,
 "Championship",6
)*100
+
COUNTIF($B$2:B51,B51)</f>
        <v>302</v>
      </c>
      <c r="D51" s="5" t="s">
        <v>22</v>
      </c>
      <c r="E51" s="5" t="s">
        <v>140</v>
      </c>
      <c r="F51" s="5" t="s">
        <v>131</v>
      </c>
      <c r="G51" s="5" t="s">
        <v>43</v>
      </c>
      <c r="H51" s="5" t="s">
        <v>41</v>
      </c>
      <c r="I51" s="15">
        <f t="array" ref="I51">IFERROR(INDEX('Team Ratings'!$B$2:$B$73,MATCH($G51,'Team Ratings'!$A$2:$A$73,0)),"")</f>
        <v>4</v>
      </c>
      <c r="J51" s="15">
        <f t="array" ref="J51">IFERROR(INDEX('Team Ratings'!$B$2:$B$73,MATCH($H51,'Team Ratings'!$A$2:$A$73,0)),"")</f>
        <v>2</v>
      </c>
      <c r="K51" s="12">
        <f>IF($S51=FALSE(),"",ROUND((0.35*IFERROR((U51-AVERAGE('Team Metrics'!$X$2:$X$65))/_xlfn.STDEV.P('Team Metrics'!$X$2:$X$65),0)) + (0.2*IFERROR((V51-AVERAGE('Team Metrics'!$W$2:$W$65))/_xlfn.STDEV.P('Team Metrics'!$W$2:$W$65),0)) + (0.15*IFERROR((W51-AVERAGE('Team Metrics'!$Y$2:$Y$65))/_xlfn.STDEV.P('Team Metrics'!$Y$2:$Y$65),0)) + (0.1*IFERROR((X51-AVERAGE('Team Metrics'!$Z$2:$Z$65))/_xlfn.STDEV.P('Team Metrics'!$Z$2:$Z$65),0)) + (0.1*IFERROR((Y51-AVERAGE('Team Metrics'!$AA$2:$AA$65))/_xlfn.STDEV.P('Team Metrics'!$AA$2:$AA$65),0)) + (0.05*IFERROR((Z51-AVERAGE('Team Metrics'!$AB$2:$AB$65))/_xlfn.STDEV.P('Team Metrics'!$AB$2:$AB$65),0)) + (0.05*IFERROR((AA51-AVERAGE('Team Metrics'!$S$2:$S$65))/IF(_xlfn.STDEV.P('Team Metrics'!$S$2:$S$65)=0,1,_xlfn.STDEV.P('Team Metrics'!$S$2:$S$65)),0)),4))</f>
        <v>0.55730000000000002</v>
      </c>
      <c r="L51" s="12">
        <f>IF($S51=FALSE(),"",ROUND((0.35*IFERROR((AB51-AVERAGE('Team Metrics'!$X$2:$X$65))/_xlfn.STDEV.P('Team Metrics'!$X$2:$X$65),0)) + (0.2*IFERROR((AC51-AVERAGE('Team Metrics'!$W$2:$W$65))/_xlfn.STDEV.P('Team Metrics'!$W$2:$W$65),0)) + (0.15*IFERROR((AD51-AVERAGE('Team Metrics'!$Y$2:$Y$65))/_xlfn.STDEV.P('Team Metrics'!$Y$2:$Y$65),0)) + (0.1*IFERROR((AE51-AVERAGE('Team Metrics'!$Z$2:$Z$65))/_xlfn.STDEV.P('Team Metrics'!$Z$2:$Z$65),0)) + (0.1*IFERROR((AF51-AVERAGE('Team Metrics'!$AA$2:$AA$65))/_xlfn.STDEV.P('Team Metrics'!$AA$2:$AA$65),0)) + (0.05*IFERROR((AG51-AVERAGE('Team Metrics'!$AB$2:$AB$65))/_xlfn.STDEV.P('Team Metrics'!$AB$2:$AB$65),0)) + (0.05*IFERROR((AH51-AVERAGE('Team Metrics'!$S$2:$S$65))/IF(_xlfn.STDEV.P('Team Metrics'!$S$2:$S$65)=0,1,_xlfn.STDEV.P('Team Metrics'!$S$2:$S$65)),0)),4))</f>
        <v>0.88549999999999995</v>
      </c>
      <c r="M51" s="12">
        <f t="shared" si="8"/>
        <v>-0.32819999999999999</v>
      </c>
      <c r="N51" s="10" t="str">
        <f t="shared" si="9"/>
        <v>Purdue</v>
      </c>
      <c r="O51" s="7">
        <f t="shared" si="10"/>
        <v>53.9</v>
      </c>
      <c r="P51" s="5" t="str">
        <f t="shared" si="11"/>
        <v/>
      </c>
      <c r="Q51" s="5" t="s">
        <v>212</v>
      </c>
      <c r="R51" s="5" t="s">
        <v>132</v>
      </c>
      <c r="S51" s="10" t="b">
        <f t="shared" si="12"/>
        <v>1</v>
      </c>
      <c r="T51" s="5" t="str">
        <f t="shared" si="13"/>
        <v>ΔComposite=0.33; AdjNET Δ=-6.5; 3PT Δ=-1.5; TO Δ=-1.1; REB Δ=0.7</v>
      </c>
      <c r="U51" s="16">
        <f t="array" ref="U51">IF($S51=FALSE(),"",ROUND((0.75*INDEX('Team Ratings'!$G$2:$G$73,MATCH($G51,'Team Ratings'!$A$2:$A$73,0)))+(0.25*INDEX('Team Ratings'!$T$2:$T$73,MATCH($G51,'Team Ratings'!$A$2:$A$73,0))),3))</f>
        <v>27.024999999999999</v>
      </c>
      <c r="V51" s="16">
        <f t="array" ref="V51">IF($S51=FALSE(),"",ROUND(INDEX('Team Ratings'!$T$2:$T$73,MATCH($G51,'Team Ratings'!$A$2:$A$73,0))-INDEX('Team Ratings'!$G$2:$G$73,MATCH($G51,'Team Ratings'!$A$2:$A$73,0)),3))</f>
        <v>2.9</v>
      </c>
      <c r="W51" s="16">
        <f t="array" ref="W51">IF($S51=FALSE(),"",ROUND(INDEX('Team Ratings'!$O$2:$O$73,MATCH($G51,'Team Ratings'!$A$2:$A$73,0))-INDEX('Team Ratings'!$P$2:$P$73,MATCH($H51,'Team Ratings'!$A$2:$A$73,0)),3))</f>
        <v>4.7</v>
      </c>
      <c r="X51" s="16">
        <f t="array" ref="X51">IF($S51=FALSE(),"",ROUND(INDEX('Team Ratings'!$K$2:$K$73,MATCH($G51,'Team Ratings'!$A$2:$A$73,0))-INDEX('Team Ratings'!$J$2:$J$73,MATCH($H51,'Team Ratings'!$A$2:$A$73,0)),3))</f>
        <v>2.2000000000000002</v>
      </c>
      <c r="Y51" s="16">
        <f t="array" ref="Y51">IF($S51=FALSE(),"",ROUND(MAX(0,MIN(10,5+((INDEX('Team Ratings'!$L$2:$L$73,MATCH($G51,'Team Ratings'!$A$2:$A$73,0))-INDEX('Team Ratings'!$M$2:$M$73,MATCH($H51,'Team Ratings'!$A$2:$A$73,0)))+(INDEX('Team Ratings'!$M$2:$M$73,MATCH($G51,'Team Ratings'!$A$2:$A$73,0))-INDEX('Team Ratings'!$L$2:$L$73,MATCH($H51,'Team Ratings'!$A$2:$A$73,0))))/2)),3))</f>
        <v>5.35</v>
      </c>
      <c r="Z51" s="16">
        <f t="array" ref="Z51">IF($S51=FALSE(),"",ROUND((1/I51)*4 + (INDEX('Team Ratings'!$T$2:$T$73,MATCH($G51,'Team Ratings'!$A$2:$A$73,0))/MAX('Team Ratings'!$T$2:$T$73))*4 + (1-(INDEX('Team Ratings'!$J$2:$J$73,MATCH($G51,'Team Ratings'!$A$2:$A$73,0))/MAX('Team Ratings'!$J$2:$J$73)))*2 + (INDEX('Team Ratings'!$N$2:$N$73,MATCH($G51,'Team Ratings'!$A$2:$A$73,0))/MAX('Team Ratings'!$N$2:$N$73)) + (INDEX('Team Ratings'!$M$2:$M$73,MATCH($G51,'Team Ratings'!$A$2:$A$73,0))/MAX('Team Ratings'!$M$2:$M$73)),2))</f>
        <v>6.39</v>
      </c>
      <c r="AA51" s="16">
        <f t="array" ref="AA51">IF($S51=FALSE(),"",IFERROR(INDEX('Team Ratings'!$Q$2:$Q$73,MATCH($G51,'Team Ratings'!$A$2:$A$73,0)),0))</f>
        <v>0</v>
      </c>
      <c r="AB51" s="16">
        <f t="array" ref="AB51">IF($S51=FALSE(),"",ROUND((0.75*INDEX('Team Ratings'!$G$2:$G$73,MATCH($H51,'Team Ratings'!$A$2:$A$73,0)))+(0.25*INDEX('Team Ratings'!$T$2:$T$73,MATCH($H51,'Team Ratings'!$A$2:$A$73,0))),3))</f>
        <v>33.549999999999997</v>
      </c>
      <c r="AC51" s="16">
        <f t="array" ref="AC51">IF($S51=FALSE(),"",ROUND(INDEX('Team Ratings'!$T$2:$T$73,MATCH($H51,'Team Ratings'!$A$2:$A$73,0))-INDEX('Team Ratings'!$G$2:$G$73,MATCH($H51,'Team Ratings'!$A$2:$A$73,0)),3))</f>
        <v>2.2000000000000002</v>
      </c>
      <c r="AD51" s="16">
        <f t="array" ref="AD51">IF($S51=FALSE(),"",ROUND(INDEX('Team Ratings'!$O$2:$O$73,MATCH($H51,'Team Ratings'!$A$2:$A$73,0))-INDEX('Team Ratings'!$P$2:$P$73,MATCH($G51,'Team Ratings'!$A$2:$A$73,0)),3))</f>
        <v>6.2</v>
      </c>
      <c r="AE51" s="16">
        <f t="array" ref="AE51">IF($S51=FALSE(),"",ROUND(INDEX('Team Ratings'!$K$2:$K$73,MATCH($H51,'Team Ratings'!$A$2:$A$73,0))-INDEX('Team Ratings'!$J$2:$J$73,MATCH($G51,'Team Ratings'!$A$2:$A$73,0)),3))</f>
        <v>3.3</v>
      </c>
      <c r="AF51" s="16">
        <f t="array" ref="AF51">IF($S51=FALSE(),"",ROUND(MAX(0,MIN(10,5+((INDEX('Team Ratings'!$L$2:$L$73,MATCH($H51,'Team Ratings'!$A$2:$A$73,0))-INDEX('Team Ratings'!$M$2:$M$73,MATCH($G51,'Team Ratings'!$A$2:$A$73,0)))+(INDEX('Team Ratings'!$M$2:$M$73,MATCH($H51,'Team Ratings'!$A$2:$A$73,0))-INDEX('Team Ratings'!$L$2:$L$73,MATCH($G51,'Team Ratings'!$A$2:$A$73,0))))/2)),3))</f>
        <v>4.6500000000000004</v>
      </c>
      <c r="AG51" s="16">
        <f t="array" ref="AG51">IF($S51=FALSE(),"",ROUND((1/J51)*4 + (INDEX('Team Ratings'!$T$2:$T$73,MATCH($H51,'Team Ratings'!$A$2:$A$73,0))/MAX('Team Ratings'!$T$2:$T$73))*4 + (1-(INDEX('Team Ratings'!$J$2:$J$73,MATCH($H51,'Team Ratings'!$A$2:$A$73,0))/MAX('Team Ratings'!$J$2:$J$73)))*2 + (INDEX('Team Ratings'!$N$2:$N$73,MATCH($H51,'Team Ratings'!$A$2:$A$73,0))/MAX('Team Ratings'!$N$2:$N$73)) + (INDEX('Team Ratings'!$M$2:$M$73,MATCH($H51,'Team Ratings'!$A$2:$A$73,0))/MAX('Team Ratings'!$M$2:$M$73)),2))</f>
        <v>7.57</v>
      </c>
      <c r="AH51" s="16">
        <f t="array" ref="AH51">IF($S51=FALSE(),"",IFERROR(INDEX('Team Ratings'!$Q$2:$Q$73,MATCH($H51,'Team Ratings'!$A$2:$A$73,0)),0))</f>
        <v>0</v>
      </c>
      <c r="AI51" s="10" t="b">
        <f t="shared" si="14"/>
        <v>1</v>
      </c>
      <c r="AJ51" s="10"/>
      <c r="AK51" s="10" t="str">
        <f t="shared" si="15"/>
        <v>Purdue</v>
      </c>
      <c r="AL51" s="10">
        <v>9</v>
      </c>
    </row>
    <row r="52" spans="1:38" ht="20" customHeight="1" x14ac:dyDescent="0.2">
      <c r="A52" s="14" t="s">
        <v>205</v>
      </c>
      <c r="B52" s="14" t="s">
        <v>211</v>
      </c>
      <c r="C52" s="5">
        <f>_xlfn.SWITCH(B52,
 "Round 1",1,
 "Round 2",2,
 "Sweet 16",3,
 "Elite 8",4,
 "Final Four",5,
 "Championship",6
)*100
+
COUNTIF($B$2:B52,B52)</f>
        <v>303</v>
      </c>
      <c r="D52" s="5" t="s">
        <v>40</v>
      </c>
      <c r="E52" s="5" t="s">
        <v>129</v>
      </c>
      <c r="F52" s="5" t="s">
        <v>154</v>
      </c>
      <c r="G52" s="5" t="s">
        <v>72</v>
      </c>
      <c r="H52" s="5" t="s">
        <v>61</v>
      </c>
      <c r="I52" s="15">
        <f t="array" ref="I52">IFERROR(INDEX('Team Ratings'!$B$2:$B$73,MATCH($G52,'Team Ratings'!$A$2:$A$73,0)),"")</f>
        <v>13</v>
      </c>
      <c r="J52" s="15">
        <f t="array" ref="J52">IFERROR(INDEX('Team Ratings'!$B$2:$B$73,MATCH($H52,'Team Ratings'!$A$2:$A$73,0)),"")</f>
        <v>2</v>
      </c>
      <c r="K52" s="12">
        <f>IF($S52=FALSE(),"",ROUND((0.35*IFERROR((U52-AVERAGE('Team Metrics'!$X$2:$X$65))/_xlfn.STDEV.P('Team Metrics'!$X$2:$X$65),0)) + (0.2*IFERROR((V52-AVERAGE('Team Metrics'!$W$2:$W$65))/_xlfn.STDEV.P('Team Metrics'!$W$2:$W$65),0)) + (0.15*IFERROR((W52-AVERAGE('Team Metrics'!$Y$2:$Y$65))/_xlfn.STDEV.P('Team Metrics'!$Y$2:$Y$65),0)) + (0.1*IFERROR((X52-AVERAGE('Team Metrics'!$Z$2:$Z$65))/_xlfn.STDEV.P('Team Metrics'!$Z$2:$Z$65),0)) + (0.1*IFERROR((Y52-AVERAGE('Team Metrics'!$AA$2:$AA$65))/_xlfn.STDEV.P('Team Metrics'!$AA$2:$AA$65),0)) + (0.05*IFERROR((Z52-AVERAGE('Team Metrics'!$AB$2:$AB$65))/_xlfn.STDEV.P('Team Metrics'!$AB$2:$AB$65),0)) + (0.05*IFERROR((AA52-AVERAGE('Team Metrics'!$S$2:$S$65))/IF(_xlfn.STDEV.P('Team Metrics'!$S$2:$S$65)=0,1,_xlfn.STDEV.P('Team Metrics'!$S$2:$S$65)),0)),4))</f>
        <v>-0.15409999999999999</v>
      </c>
      <c r="L52" s="12">
        <f>IF($S52=FALSE(),"",ROUND((0.35*IFERROR((AB52-AVERAGE('Team Metrics'!$X$2:$X$65))/_xlfn.STDEV.P('Team Metrics'!$X$2:$X$65),0)) + (0.2*IFERROR((AC52-AVERAGE('Team Metrics'!$W$2:$W$65))/_xlfn.STDEV.P('Team Metrics'!$W$2:$W$65),0)) + (0.15*IFERROR((AD52-AVERAGE('Team Metrics'!$Y$2:$Y$65))/_xlfn.STDEV.P('Team Metrics'!$Y$2:$Y$65),0)) + (0.1*IFERROR((AE52-AVERAGE('Team Metrics'!$Z$2:$Z$65))/_xlfn.STDEV.P('Team Metrics'!$Z$2:$Z$65),0)) + (0.1*IFERROR((AF52-AVERAGE('Team Metrics'!$AA$2:$AA$65))/_xlfn.STDEV.P('Team Metrics'!$AA$2:$AA$65),0)) + (0.05*IFERROR((AG52-AVERAGE('Team Metrics'!$AB$2:$AB$65))/_xlfn.STDEV.P('Team Metrics'!$AB$2:$AB$65),0)) + (0.05*IFERROR((AH52-AVERAGE('Team Metrics'!$S$2:$S$65))/IF(_xlfn.STDEV.P('Team Metrics'!$S$2:$S$65)=0,1,_xlfn.STDEV.P('Team Metrics'!$S$2:$S$65)),0)),4))</f>
        <v>0.4844</v>
      </c>
      <c r="M52" s="12">
        <f t="shared" si="8"/>
        <v>-0.63849999999999996</v>
      </c>
      <c r="N52" s="10" t="str">
        <f t="shared" si="9"/>
        <v>Houston</v>
      </c>
      <c r="O52" s="7">
        <f t="shared" si="10"/>
        <v>57.7</v>
      </c>
      <c r="P52" s="5" t="str">
        <f t="shared" si="11"/>
        <v/>
      </c>
      <c r="Q52" s="5" t="s">
        <v>213</v>
      </c>
      <c r="R52" s="5" t="s">
        <v>123</v>
      </c>
      <c r="S52" s="10" t="b">
        <f t="shared" si="12"/>
        <v>1</v>
      </c>
      <c r="T52" s="5" t="str">
        <f t="shared" si="13"/>
        <v>ΔComposite=0.64; AdjNET Δ=-27; 3PT Δ=-2.5; TO Δ=-0.1; REB Δ=-0.4</v>
      </c>
      <c r="U52" s="16">
        <f t="array" ref="U52">IF($S52=FALSE(),"",ROUND((0.75*INDEX('Team Ratings'!$G$2:$G$73,MATCH($G52,'Team Ratings'!$A$2:$A$73,0)))+(0.25*INDEX('Team Ratings'!$T$2:$T$73,MATCH($G52,'Team Ratings'!$A$2:$A$73,0))),3))</f>
        <v>5</v>
      </c>
      <c r="V52" s="16">
        <f t="array" ref="V52">IF($S52=FALSE(),"",ROUND(INDEX('Team Ratings'!$T$2:$T$73,MATCH($G52,'Team Ratings'!$A$2:$A$73,0))-INDEX('Team Ratings'!$G$2:$G$73,MATCH($G52,'Team Ratings'!$A$2:$A$73,0)),3))</f>
        <v>13.2</v>
      </c>
      <c r="W52" s="16">
        <f t="array" ref="W52">IF($S52=FALSE(),"",ROUND(INDEX('Team Ratings'!$O$2:$O$73,MATCH($G52,'Team Ratings'!$A$2:$A$73,0))-INDEX('Team Ratings'!$P$2:$P$73,MATCH($H52,'Team Ratings'!$A$2:$A$73,0)),3))</f>
        <v>1.1000000000000001</v>
      </c>
      <c r="X52" s="16">
        <f t="array" ref="X52">IF($S52=FALSE(),"",ROUND(INDEX('Team Ratings'!$K$2:$K$73,MATCH($G52,'Team Ratings'!$A$2:$A$73,0))-INDEX('Team Ratings'!$J$2:$J$73,MATCH($H52,'Team Ratings'!$A$2:$A$73,0)),3))</f>
        <v>3.9</v>
      </c>
      <c r="Y52" s="16">
        <f t="array" ref="Y52">IF($S52=FALSE(),"",ROUND(MAX(0,MIN(10,5+((INDEX('Team Ratings'!$L$2:$L$73,MATCH($G52,'Team Ratings'!$A$2:$A$73,0))-INDEX('Team Ratings'!$M$2:$M$73,MATCH($H52,'Team Ratings'!$A$2:$A$73,0)))+(INDEX('Team Ratings'!$M$2:$M$73,MATCH($G52,'Team Ratings'!$A$2:$A$73,0))-INDEX('Team Ratings'!$L$2:$L$73,MATCH($H52,'Team Ratings'!$A$2:$A$73,0))))/2)),3))</f>
        <v>4.8</v>
      </c>
      <c r="Z52" s="16">
        <f t="array" ref="Z52">IF($S52=FALSE(),"",ROUND((1/I52)*4 + (INDEX('Team Ratings'!$T$2:$T$73,MATCH($G52,'Team Ratings'!$A$2:$A$73,0))/MAX('Team Ratings'!$T$2:$T$73))*4 + (1-(INDEX('Team Ratings'!$J$2:$J$73,MATCH($G52,'Team Ratings'!$A$2:$A$73,0))/MAX('Team Ratings'!$J$2:$J$73)))*2 + (INDEX('Team Ratings'!$N$2:$N$73,MATCH($G52,'Team Ratings'!$A$2:$A$73,0))/MAX('Team Ratings'!$N$2:$N$73)) + (INDEX('Team Ratings'!$M$2:$M$73,MATCH($G52,'Team Ratings'!$A$2:$A$73,0))/MAX('Team Ratings'!$M$2:$M$73)),2))</f>
        <v>3.78</v>
      </c>
      <c r="AA52" s="16">
        <f t="array" ref="AA52">IF($S52=FALSE(),"",IFERROR(INDEX('Team Ratings'!$Q$2:$Q$73,MATCH($G52,'Team Ratings'!$A$2:$A$73,0)),0))</f>
        <v>0</v>
      </c>
      <c r="AB52" s="16">
        <f t="array" ref="AB52">IF($S52=FALSE(),"",ROUND((0.75*INDEX('Team Ratings'!$G$2:$G$73,MATCH($H52,'Team Ratings'!$A$2:$A$73,0)))+(0.25*INDEX('Team Ratings'!$T$2:$T$73,MATCH($H52,'Team Ratings'!$A$2:$A$73,0))),3))</f>
        <v>31.975000000000001</v>
      </c>
      <c r="AC52" s="16">
        <f t="array" ref="AC52">IF($S52=FALSE(),"",ROUND(INDEX('Team Ratings'!$T$2:$T$73,MATCH($H52,'Team Ratings'!$A$2:$A$73,0))-INDEX('Team Ratings'!$G$2:$G$73,MATCH($H52,'Team Ratings'!$A$2:$A$73,0)),3))</f>
        <v>-3.7</v>
      </c>
      <c r="AD52" s="16">
        <f t="array" ref="AD52">IF($S52=FALSE(),"",ROUND(INDEX('Team Ratings'!$O$2:$O$73,MATCH($H52,'Team Ratings'!$A$2:$A$73,0))-INDEX('Team Ratings'!$P$2:$P$73,MATCH($G52,'Team Ratings'!$A$2:$A$73,0)),3))</f>
        <v>3.6</v>
      </c>
      <c r="AE52" s="16">
        <f t="array" ref="AE52">IF($S52=FALSE(),"",ROUND(INDEX('Team Ratings'!$K$2:$K$73,MATCH($H52,'Team Ratings'!$A$2:$A$73,0))-INDEX('Team Ratings'!$J$2:$J$73,MATCH($G52,'Team Ratings'!$A$2:$A$73,0)),3))</f>
        <v>4</v>
      </c>
      <c r="AF52" s="16">
        <f t="array" ref="AF52">IF($S52=FALSE(),"",ROUND(MAX(0,MIN(10,5+((INDEX('Team Ratings'!$L$2:$L$73,MATCH($H52,'Team Ratings'!$A$2:$A$73,0))-INDEX('Team Ratings'!$M$2:$M$73,MATCH($G52,'Team Ratings'!$A$2:$A$73,0)))+(INDEX('Team Ratings'!$M$2:$M$73,MATCH($H52,'Team Ratings'!$A$2:$A$73,0))-INDEX('Team Ratings'!$L$2:$L$73,MATCH($G52,'Team Ratings'!$A$2:$A$73,0))))/2)),3))</f>
        <v>5.2</v>
      </c>
      <c r="AG52" s="16">
        <f t="array" ref="AG52">IF($S52=FALSE(),"",ROUND((1/J52)*4 + (INDEX('Team Ratings'!$T$2:$T$73,MATCH($H52,'Team Ratings'!$A$2:$A$73,0))/MAX('Team Ratings'!$T$2:$T$73))*4 + (1-(INDEX('Team Ratings'!$J$2:$J$73,MATCH($H52,'Team Ratings'!$A$2:$A$73,0))/MAX('Team Ratings'!$J$2:$J$73)))*2 + (INDEX('Team Ratings'!$N$2:$N$73,MATCH($H52,'Team Ratings'!$A$2:$A$73,0))/MAX('Team Ratings'!$N$2:$N$73)) + (INDEX('Team Ratings'!$M$2:$M$73,MATCH($H52,'Team Ratings'!$A$2:$A$73,0))/MAX('Team Ratings'!$M$2:$M$73)),2))</f>
        <v>7.1</v>
      </c>
      <c r="AH52" s="16">
        <f t="array" ref="AH52">IF($S52=FALSE(),"",IFERROR(INDEX('Team Ratings'!$Q$2:$Q$73,MATCH($H52,'Team Ratings'!$A$2:$A$73,0)),0))</f>
        <v>-1</v>
      </c>
      <c r="AI52" s="10" t="b">
        <f t="shared" si="14"/>
        <v>1</v>
      </c>
      <c r="AJ52" s="10"/>
      <c r="AK52" s="10" t="str">
        <f t="shared" si="15"/>
        <v>Houston</v>
      </c>
      <c r="AL52" s="10">
        <v>9</v>
      </c>
    </row>
    <row r="53" spans="1:38" ht="20" customHeight="1" x14ac:dyDescent="0.2">
      <c r="A53" s="14" t="s">
        <v>206</v>
      </c>
      <c r="B53" s="14" t="s">
        <v>211</v>
      </c>
      <c r="C53" s="5">
        <f>_xlfn.SWITCH(B53,
 "Round 1",1,
 "Round 2",2,
 "Sweet 16",3,
 "Elite 8",4,
 "Final Four",5,
 "Championship",6
)*100
+
COUNTIF($B$2:B53,B53)</f>
        <v>304</v>
      </c>
      <c r="D53" s="5" t="s">
        <v>40</v>
      </c>
      <c r="E53" s="5" t="s">
        <v>146</v>
      </c>
      <c r="F53" s="5" t="s">
        <v>138</v>
      </c>
      <c r="G53" s="5" t="s">
        <v>82</v>
      </c>
      <c r="H53" s="5" t="s">
        <v>80</v>
      </c>
      <c r="I53" s="15">
        <f t="array" ref="I53">IFERROR(INDEX('Team Ratings'!$B$2:$B$73,MATCH($G53,'Team Ratings'!$A$2:$A$73,0)),"")</f>
        <v>4</v>
      </c>
      <c r="J53" s="15">
        <f t="array" ref="J53">IFERROR(INDEX('Team Ratings'!$B$2:$B$73,MATCH($H53,'Team Ratings'!$A$2:$A$73,0)),"")</f>
        <v>2</v>
      </c>
      <c r="K53" s="12">
        <f>IF($S53=FALSE(),"",ROUND((0.35*IFERROR((U53-AVERAGE('Team Metrics'!$X$2:$X$65))/_xlfn.STDEV.P('Team Metrics'!$X$2:$X$65),0)) + (0.2*IFERROR((V53-AVERAGE('Team Metrics'!$W$2:$W$65))/_xlfn.STDEV.P('Team Metrics'!$W$2:$W$65),0)) + (0.15*IFERROR((W53-AVERAGE('Team Metrics'!$Y$2:$Y$65))/_xlfn.STDEV.P('Team Metrics'!$Y$2:$Y$65),0)) + (0.1*IFERROR((X53-AVERAGE('Team Metrics'!$Z$2:$Z$65))/_xlfn.STDEV.P('Team Metrics'!$Z$2:$Z$65),0)) + (0.1*IFERROR((Y53-AVERAGE('Team Metrics'!$AA$2:$AA$65))/_xlfn.STDEV.P('Team Metrics'!$AA$2:$AA$65),0)) + (0.05*IFERROR((Z53-AVERAGE('Team Metrics'!$AB$2:$AB$65))/_xlfn.STDEV.P('Team Metrics'!$AB$2:$AB$65),0)) + (0.05*IFERROR((AA53-AVERAGE('Team Metrics'!$S$2:$S$65))/IF(_xlfn.STDEV.P('Team Metrics'!$S$2:$S$65)=0,1,_xlfn.STDEV.P('Team Metrics'!$S$2:$S$65)),0)),4))</f>
        <v>-1.3299999999999999E-2</v>
      </c>
      <c r="L53" s="12">
        <f>IF($S53=FALSE(),"",ROUND((0.35*IFERROR((AB53-AVERAGE('Team Metrics'!$X$2:$X$65))/_xlfn.STDEV.P('Team Metrics'!$X$2:$X$65),0)) + (0.2*IFERROR((AC53-AVERAGE('Team Metrics'!$W$2:$W$65))/_xlfn.STDEV.P('Team Metrics'!$W$2:$W$65),0)) + (0.15*IFERROR((AD53-AVERAGE('Team Metrics'!$Y$2:$Y$65))/_xlfn.STDEV.P('Team Metrics'!$Y$2:$Y$65),0)) + (0.1*IFERROR((AE53-AVERAGE('Team Metrics'!$Z$2:$Z$65))/_xlfn.STDEV.P('Team Metrics'!$Z$2:$Z$65),0)) + (0.1*IFERROR((AF53-AVERAGE('Team Metrics'!$AA$2:$AA$65))/_xlfn.STDEV.P('Team Metrics'!$AA$2:$AA$65),0)) + (0.05*IFERROR((AG53-AVERAGE('Team Metrics'!$AB$2:$AB$65))/_xlfn.STDEV.P('Team Metrics'!$AB$2:$AB$65),0)) + (0.05*IFERROR((AH53-AVERAGE('Team Metrics'!$S$2:$S$65))/IF(_xlfn.STDEV.P('Team Metrics'!$S$2:$S$65)=0,1,_xlfn.STDEV.P('Team Metrics'!$S$2:$S$65)),0)),4))</f>
        <v>1.1581999999999999</v>
      </c>
      <c r="M53" s="12">
        <f t="shared" si="8"/>
        <v>-1.1715</v>
      </c>
      <c r="N53" s="10" t="str">
        <f t="shared" si="9"/>
        <v>Iowa St.</v>
      </c>
      <c r="O53" s="7">
        <f t="shared" si="10"/>
        <v>64.099999999999994</v>
      </c>
      <c r="P53" s="5" t="str">
        <f t="shared" si="11"/>
        <v/>
      </c>
      <c r="Q53" s="5" t="s">
        <v>213</v>
      </c>
      <c r="R53" s="5" t="s">
        <v>132</v>
      </c>
      <c r="S53" s="10" t="b">
        <f t="shared" si="12"/>
        <v>1</v>
      </c>
      <c r="T53" s="5" t="str">
        <f t="shared" si="13"/>
        <v>ΔComposite=1.17; AdjNET Δ=-8.5; 3PT Δ=-1.5; TO Δ=-11.9; REB Δ=1.2</v>
      </c>
      <c r="U53" s="16">
        <f t="array" ref="U53">IF($S53=FALSE(),"",ROUND((0.75*INDEX('Team Ratings'!$G$2:$G$73,MATCH($G53,'Team Ratings'!$A$2:$A$73,0)))+(0.25*INDEX('Team Ratings'!$T$2:$T$73,MATCH($G53,'Team Ratings'!$A$2:$A$73,0))),3))</f>
        <v>24.7</v>
      </c>
      <c r="V53" s="16">
        <f t="array" ref="V53">IF($S53=FALSE(),"",ROUND(INDEX('Team Ratings'!$T$2:$T$73,MATCH($G53,'Team Ratings'!$A$2:$A$73,0))-INDEX('Team Ratings'!$G$2:$G$73,MATCH($G53,'Team Ratings'!$A$2:$A$73,0)),3))</f>
        <v>-8</v>
      </c>
      <c r="W53" s="16">
        <f t="array" ref="W53">IF($S53=FALSE(),"",ROUND(INDEX('Team Ratings'!$O$2:$O$73,MATCH($G53,'Team Ratings'!$A$2:$A$73,0))-INDEX('Team Ratings'!$P$2:$P$73,MATCH($H53,'Team Ratings'!$A$2:$A$73,0)),3))</f>
        <v>3.7</v>
      </c>
      <c r="X53" s="16">
        <f t="array" ref="X53">IF($S53=FALSE(),"",ROUND(INDEX('Team Ratings'!$K$2:$K$73,MATCH($G53,'Team Ratings'!$A$2:$A$73,0))-INDEX('Team Ratings'!$J$2:$J$73,MATCH($H53,'Team Ratings'!$A$2:$A$73,0)),3))</f>
        <v>-2.5</v>
      </c>
      <c r="Y53" s="16">
        <f t="array" ref="Y53">IF($S53=FALSE(),"",ROUND(MAX(0,MIN(10,5+((INDEX('Team Ratings'!$L$2:$L$73,MATCH($G53,'Team Ratings'!$A$2:$A$73,0))-INDEX('Team Ratings'!$M$2:$M$73,MATCH($H53,'Team Ratings'!$A$2:$A$73,0)))+(INDEX('Team Ratings'!$M$2:$M$73,MATCH($G53,'Team Ratings'!$A$2:$A$73,0))-INDEX('Team Ratings'!$L$2:$L$73,MATCH($H53,'Team Ratings'!$A$2:$A$73,0))))/2)),3))</f>
        <v>5.6</v>
      </c>
      <c r="Z53" s="16">
        <f t="array" ref="Z53">IF($S53=FALSE(),"",ROUND((1/I53)*4 + (INDEX('Team Ratings'!$T$2:$T$73,MATCH($G53,'Team Ratings'!$A$2:$A$73,0))/MAX('Team Ratings'!$T$2:$T$73))*4 + (1-(INDEX('Team Ratings'!$J$2:$J$73,MATCH($G53,'Team Ratings'!$A$2:$A$73,0))/MAX('Team Ratings'!$J$2:$J$73)))*2 + (INDEX('Team Ratings'!$N$2:$N$73,MATCH($G53,'Team Ratings'!$A$2:$A$73,0))/MAX('Team Ratings'!$N$2:$N$73)) + (INDEX('Team Ratings'!$M$2:$M$73,MATCH($G53,'Team Ratings'!$A$2:$A$73,0))/MAX('Team Ratings'!$M$2:$M$73)),2))</f>
        <v>5.32</v>
      </c>
      <c r="AA53" s="16">
        <f t="array" ref="AA53">IF($S53=FALSE(),"",IFERROR(INDEX('Team Ratings'!$Q$2:$Q$73,MATCH($G53,'Team Ratings'!$A$2:$A$73,0)),0))</f>
        <v>0</v>
      </c>
      <c r="AB53" s="16">
        <f t="array" ref="AB53">IF($S53=FALSE(),"",ROUND((0.75*INDEX('Team Ratings'!$G$2:$G$73,MATCH($H53,'Team Ratings'!$A$2:$A$73,0)))+(0.25*INDEX('Team Ratings'!$T$2:$T$73,MATCH($H53,'Team Ratings'!$A$2:$A$73,0))),3))</f>
        <v>33.225000000000001</v>
      </c>
      <c r="AC53" s="16">
        <f t="array" ref="AC53">IF($S53=FALSE(),"",ROUND(INDEX('Team Ratings'!$T$2:$T$73,MATCH($H53,'Team Ratings'!$A$2:$A$73,0))-INDEX('Team Ratings'!$G$2:$G$73,MATCH($H53,'Team Ratings'!$A$2:$A$73,0)),3))</f>
        <v>8.1</v>
      </c>
      <c r="AD53" s="16">
        <f t="array" ref="AD53">IF($S53=FALSE(),"",ROUND(INDEX('Team Ratings'!$O$2:$O$73,MATCH($H53,'Team Ratings'!$A$2:$A$73,0))-INDEX('Team Ratings'!$P$2:$P$73,MATCH($G53,'Team Ratings'!$A$2:$A$73,0)),3))</f>
        <v>5.2</v>
      </c>
      <c r="AE53" s="16">
        <f t="array" ref="AE53">IF($S53=FALSE(),"",ROUND(INDEX('Team Ratings'!$K$2:$K$73,MATCH($H53,'Team Ratings'!$A$2:$A$73,0))-INDEX('Team Ratings'!$J$2:$J$73,MATCH($G53,'Team Ratings'!$A$2:$A$73,0)),3))</f>
        <v>9.4</v>
      </c>
      <c r="AF53" s="16">
        <f t="array" ref="AF53">IF($S53=FALSE(),"",ROUND(MAX(0,MIN(10,5+((INDEX('Team Ratings'!$L$2:$L$73,MATCH($H53,'Team Ratings'!$A$2:$A$73,0))-INDEX('Team Ratings'!$M$2:$M$73,MATCH($G53,'Team Ratings'!$A$2:$A$73,0)))+(INDEX('Team Ratings'!$M$2:$M$73,MATCH($H53,'Team Ratings'!$A$2:$A$73,0))-INDEX('Team Ratings'!$L$2:$L$73,MATCH($G53,'Team Ratings'!$A$2:$A$73,0))))/2)),3))</f>
        <v>4.4000000000000004</v>
      </c>
      <c r="AG53" s="16">
        <f t="array" ref="AG53">IF($S53=FALSE(),"",ROUND((1/J53)*4 + (INDEX('Team Ratings'!$T$2:$T$73,MATCH($H53,'Team Ratings'!$A$2:$A$73,0))/MAX('Team Ratings'!$T$2:$T$73))*4 + (1-(INDEX('Team Ratings'!$J$2:$J$73,MATCH($H53,'Team Ratings'!$A$2:$A$73,0))/MAX('Team Ratings'!$J$2:$J$73)))*2 + (INDEX('Team Ratings'!$N$2:$N$73,MATCH($H53,'Team Ratings'!$A$2:$A$73,0))/MAX('Team Ratings'!$N$2:$N$73)) + (INDEX('Team Ratings'!$M$2:$M$73,MATCH($H53,'Team Ratings'!$A$2:$A$73,0))/MAX('Team Ratings'!$M$2:$M$73)),2))</f>
        <v>7.98</v>
      </c>
      <c r="AH53" s="16">
        <f t="array" ref="AH53">IF($S53=FALSE(),"",IFERROR(INDEX('Team Ratings'!$Q$2:$Q$73,MATCH($H53,'Team Ratings'!$A$2:$A$73,0)),0))</f>
        <v>0</v>
      </c>
      <c r="AI53" s="10" t="b">
        <f t="shared" si="14"/>
        <v>1</v>
      </c>
      <c r="AJ53" s="10"/>
      <c r="AK53" s="10" t="str">
        <f t="shared" si="15"/>
        <v>Iowa St.</v>
      </c>
      <c r="AL53" s="10">
        <v>9</v>
      </c>
    </row>
    <row r="54" spans="1:38" ht="20" customHeight="1" x14ac:dyDescent="0.2">
      <c r="A54" s="14" t="s">
        <v>207</v>
      </c>
      <c r="B54" s="14" t="s">
        <v>211</v>
      </c>
      <c r="C54" s="5">
        <f>_xlfn.SWITCH(B54,
 "Round 1",1,
 "Round 2",2,
 "Sweet 16",3,
 "Elite 8",4,
 "Final Four",5,
 "Championship",6
)*100
+
COUNTIF($B$2:B54,B54)</f>
        <v>305</v>
      </c>
      <c r="D54" s="5" t="s">
        <v>60</v>
      </c>
      <c r="E54" s="5" t="s">
        <v>127</v>
      </c>
      <c r="F54" s="5" t="s">
        <v>152</v>
      </c>
      <c r="G54" s="5" t="s">
        <v>35</v>
      </c>
      <c r="H54" s="5" t="s">
        <v>43</v>
      </c>
      <c r="I54" s="15">
        <f t="array" ref="I54">IFERROR(INDEX('Team Ratings'!$B$2:$B$73,MATCH($G54,'Team Ratings'!$A$2:$A$73,0)),"")</f>
        <v>13</v>
      </c>
      <c r="J54" s="15">
        <f t="array" ref="J54">IFERROR(INDEX('Team Ratings'!$B$2:$B$73,MATCH($H54,'Team Ratings'!$A$2:$A$73,0)),"")</f>
        <v>4</v>
      </c>
      <c r="K54" s="12">
        <f>IF($S54=FALSE(),"",ROUND((0.35*IFERROR((U54-AVERAGE('Team Metrics'!$X$2:$X$65))/_xlfn.STDEV.P('Team Metrics'!$X$2:$X$65),0)) + (0.2*IFERROR((V54-AVERAGE('Team Metrics'!$W$2:$W$65))/_xlfn.STDEV.P('Team Metrics'!$W$2:$W$65),0)) + (0.15*IFERROR((W54-AVERAGE('Team Metrics'!$Y$2:$Y$65))/_xlfn.STDEV.P('Team Metrics'!$Y$2:$Y$65),0)) + (0.1*IFERROR((X54-AVERAGE('Team Metrics'!$Z$2:$Z$65))/_xlfn.STDEV.P('Team Metrics'!$Z$2:$Z$65),0)) + (0.1*IFERROR((Y54-AVERAGE('Team Metrics'!$AA$2:$AA$65))/_xlfn.STDEV.P('Team Metrics'!$AA$2:$AA$65),0)) + (0.05*IFERROR((Z54-AVERAGE('Team Metrics'!$AB$2:$AB$65))/_xlfn.STDEV.P('Team Metrics'!$AB$2:$AB$65),0)) + (0.05*IFERROR((AA54-AVERAGE('Team Metrics'!$S$2:$S$65))/IF(_xlfn.STDEV.P('Team Metrics'!$S$2:$S$65)=0,1,_xlfn.STDEV.P('Team Metrics'!$S$2:$S$65)),0)),4))</f>
        <v>0.1056</v>
      </c>
      <c r="L54" s="12">
        <f>IF($S54=FALSE(),"",ROUND((0.35*IFERROR((AB54-AVERAGE('Team Metrics'!$X$2:$X$65))/_xlfn.STDEV.P('Team Metrics'!$X$2:$X$65),0)) + (0.2*IFERROR((AC54-AVERAGE('Team Metrics'!$W$2:$W$65))/_xlfn.STDEV.P('Team Metrics'!$W$2:$W$65),0)) + (0.15*IFERROR((AD54-AVERAGE('Team Metrics'!$Y$2:$Y$65))/_xlfn.STDEV.P('Team Metrics'!$Y$2:$Y$65),0)) + (0.1*IFERROR((AE54-AVERAGE('Team Metrics'!$Z$2:$Z$65))/_xlfn.STDEV.P('Team Metrics'!$Z$2:$Z$65),0)) + (0.1*IFERROR((AF54-AVERAGE('Team Metrics'!$AA$2:$AA$65))/_xlfn.STDEV.P('Team Metrics'!$AA$2:$AA$65),0)) + (0.05*IFERROR((AG54-AVERAGE('Team Metrics'!$AB$2:$AB$65))/_xlfn.STDEV.P('Team Metrics'!$AB$2:$AB$65),0)) + (0.05*IFERROR((AH54-AVERAGE('Team Metrics'!$S$2:$S$65))/IF(_xlfn.STDEV.P('Team Metrics'!$S$2:$S$65)=0,1,_xlfn.STDEV.P('Team Metrics'!$S$2:$S$65)),0)),4))</f>
        <v>0.64700000000000002</v>
      </c>
      <c r="M54" s="12">
        <f t="shared" si="8"/>
        <v>-0.54139999999999999</v>
      </c>
      <c r="N54" s="10" t="str">
        <f t="shared" si="9"/>
        <v>Arkansas</v>
      </c>
      <c r="O54" s="7">
        <f t="shared" si="10"/>
        <v>56.5</v>
      </c>
      <c r="P54" s="5" t="str">
        <f t="shared" si="11"/>
        <v/>
      </c>
      <c r="Q54" s="5" t="s">
        <v>214</v>
      </c>
      <c r="R54" s="5" t="s">
        <v>123</v>
      </c>
      <c r="S54" s="10" t="b">
        <f t="shared" si="12"/>
        <v>1</v>
      </c>
      <c r="T54" s="5" t="str">
        <f t="shared" si="13"/>
        <v>ΔComposite=0.54; AdjNET Δ=-16.9; 3PT Δ=-7.2; TO Δ=7.2; REB Δ=1.6</v>
      </c>
      <c r="U54" s="16">
        <f t="array" ref="U54">IF($S54=FALSE(),"",ROUND((0.75*INDEX('Team Ratings'!$G$2:$G$73,MATCH($G54,'Team Ratings'!$A$2:$A$73,0)))+(0.25*INDEX('Team Ratings'!$T$2:$T$73,MATCH($G54,'Team Ratings'!$A$2:$A$73,0))),3))</f>
        <v>10.175000000000001</v>
      </c>
      <c r="V54" s="16">
        <f t="array" ref="V54">IF($S54=FALSE(),"",ROUND(INDEX('Team Ratings'!$T$2:$T$73,MATCH($G54,'Team Ratings'!$A$2:$A$73,0))-INDEX('Team Ratings'!$G$2:$G$73,MATCH($G54,'Team Ratings'!$A$2:$A$73,0)),3))</f>
        <v>11.9</v>
      </c>
      <c r="W54" s="16">
        <f t="array" ref="W54">IF($S54=FALSE(),"",ROUND(INDEX('Team Ratings'!$O$2:$O$73,MATCH($G54,'Team Ratings'!$A$2:$A$73,0))-INDEX('Team Ratings'!$P$2:$P$73,MATCH($H54,'Team Ratings'!$A$2:$A$73,0)),3))</f>
        <v>2</v>
      </c>
      <c r="X54" s="16">
        <f t="array" ref="X54">IF($S54=FALSE(),"",ROUND(INDEX('Team Ratings'!$K$2:$K$73,MATCH($G54,'Team Ratings'!$A$2:$A$73,0))-INDEX('Team Ratings'!$J$2:$J$73,MATCH($H54,'Team Ratings'!$A$2:$A$73,0)),3))</f>
        <v>4.8</v>
      </c>
      <c r="Y54" s="16">
        <f t="array" ref="Y54">IF($S54=FALSE(),"",ROUND(MAX(0,MIN(10,5+((INDEX('Team Ratings'!$L$2:$L$73,MATCH($G54,'Team Ratings'!$A$2:$A$73,0))-INDEX('Team Ratings'!$M$2:$M$73,MATCH($H54,'Team Ratings'!$A$2:$A$73,0)))+(INDEX('Team Ratings'!$M$2:$M$73,MATCH($G54,'Team Ratings'!$A$2:$A$73,0))-INDEX('Team Ratings'!$L$2:$L$73,MATCH($H54,'Team Ratings'!$A$2:$A$73,0))))/2)),3))</f>
        <v>5.8</v>
      </c>
      <c r="Z54" s="16">
        <f t="array" ref="Z54">IF($S54=FALSE(),"",ROUND((1/I54)*4 + (INDEX('Team Ratings'!$T$2:$T$73,MATCH($G54,'Team Ratings'!$A$2:$A$73,0))/MAX('Team Ratings'!$T$2:$T$73))*4 + (1-(INDEX('Team Ratings'!$J$2:$J$73,MATCH($G54,'Team Ratings'!$A$2:$A$73,0))/MAX('Team Ratings'!$J$2:$J$73)))*2 + (INDEX('Team Ratings'!$N$2:$N$73,MATCH($G54,'Team Ratings'!$A$2:$A$73,0))/MAX('Team Ratings'!$N$2:$N$73)) + (INDEX('Team Ratings'!$M$2:$M$73,MATCH($G54,'Team Ratings'!$A$2:$A$73,0))/MAX('Team Ratings'!$M$2:$M$73)),2))</f>
        <v>3.97</v>
      </c>
      <c r="AA54" s="16">
        <f t="array" ref="AA54">IF($S54=FALSE(),"",IFERROR(INDEX('Team Ratings'!$Q$2:$Q$73,MATCH($G54,'Team Ratings'!$A$2:$A$73,0)),0))</f>
        <v>0</v>
      </c>
      <c r="AB54" s="16">
        <f t="array" ref="AB54">IF($S54=FALSE(),"",ROUND((0.75*INDEX('Team Ratings'!$G$2:$G$73,MATCH($H54,'Team Ratings'!$A$2:$A$73,0)))+(0.25*INDEX('Team Ratings'!$T$2:$T$73,MATCH($H54,'Team Ratings'!$A$2:$A$73,0))),3))</f>
        <v>27.024999999999999</v>
      </c>
      <c r="AC54" s="16">
        <f t="array" ref="AC54">IF($S54=FALSE(),"",ROUND(INDEX('Team Ratings'!$T$2:$T$73,MATCH($H54,'Team Ratings'!$A$2:$A$73,0))-INDEX('Team Ratings'!$G$2:$G$73,MATCH($H54,'Team Ratings'!$A$2:$A$73,0)),3))</f>
        <v>2.9</v>
      </c>
      <c r="AD54" s="16">
        <f t="array" ref="AD54">IF($S54=FALSE(),"",ROUND(INDEX('Team Ratings'!$O$2:$O$73,MATCH($H54,'Team Ratings'!$A$2:$A$73,0))-INDEX('Team Ratings'!$P$2:$P$73,MATCH($G54,'Team Ratings'!$A$2:$A$73,0)),3))</f>
        <v>9.1999999999999993</v>
      </c>
      <c r="AE54" s="16">
        <f t="array" ref="AE54">IF($S54=FALSE(),"",ROUND(INDEX('Team Ratings'!$K$2:$K$73,MATCH($H54,'Team Ratings'!$A$2:$A$73,0))-INDEX('Team Ratings'!$J$2:$J$73,MATCH($G54,'Team Ratings'!$A$2:$A$73,0)),3))</f>
        <v>-2.4</v>
      </c>
      <c r="AF54" s="16">
        <f t="array" ref="AF54">IF($S54=FALSE(),"",ROUND(MAX(0,MIN(10,5+((INDEX('Team Ratings'!$L$2:$L$73,MATCH($H54,'Team Ratings'!$A$2:$A$73,0))-INDEX('Team Ratings'!$M$2:$M$73,MATCH($G54,'Team Ratings'!$A$2:$A$73,0)))+(INDEX('Team Ratings'!$M$2:$M$73,MATCH($H54,'Team Ratings'!$A$2:$A$73,0))-INDEX('Team Ratings'!$L$2:$L$73,MATCH($G54,'Team Ratings'!$A$2:$A$73,0))))/2)),3))</f>
        <v>4.2</v>
      </c>
      <c r="AG54" s="16">
        <f t="array" ref="AG54">IF($S54=FALSE(),"",ROUND((1/J54)*4 + (INDEX('Team Ratings'!$T$2:$T$73,MATCH($H54,'Team Ratings'!$A$2:$A$73,0))/MAX('Team Ratings'!$T$2:$T$73))*4 + (1-(INDEX('Team Ratings'!$J$2:$J$73,MATCH($H54,'Team Ratings'!$A$2:$A$73,0))/MAX('Team Ratings'!$J$2:$J$73)))*2 + (INDEX('Team Ratings'!$N$2:$N$73,MATCH($H54,'Team Ratings'!$A$2:$A$73,0))/MAX('Team Ratings'!$N$2:$N$73)) + (INDEX('Team Ratings'!$M$2:$M$73,MATCH($H54,'Team Ratings'!$A$2:$A$73,0))/MAX('Team Ratings'!$M$2:$M$73)),2))</f>
        <v>6.39</v>
      </c>
      <c r="AH54" s="16">
        <f t="array" ref="AH54">IF($S54=FALSE(),"",IFERROR(INDEX('Team Ratings'!$Q$2:$Q$73,MATCH($H54,'Team Ratings'!$A$2:$A$73,0)),0))</f>
        <v>0</v>
      </c>
      <c r="AI54" s="10" t="b">
        <f t="shared" si="14"/>
        <v>1</v>
      </c>
      <c r="AJ54" s="10"/>
      <c r="AK54" s="10" t="str">
        <f t="shared" si="15"/>
        <v>Arkansas</v>
      </c>
      <c r="AL54" s="10">
        <v>9</v>
      </c>
    </row>
    <row r="55" spans="1:38" ht="20" customHeight="1" x14ac:dyDescent="0.2">
      <c r="A55" s="14" t="s">
        <v>208</v>
      </c>
      <c r="B55" s="14" t="s">
        <v>211</v>
      </c>
      <c r="C55" s="5">
        <f>_xlfn.SWITCH(B55,
 "Round 1",1,
 "Round 2",2,
 "Sweet 16",3,
 "Elite 8",4,
 "Final Four",5,
 "Championship",6
)*100
+
COUNTIF($B$2:B55,B55)</f>
        <v>306</v>
      </c>
      <c r="D55" s="5" t="s">
        <v>60</v>
      </c>
      <c r="E55" s="5" t="s">
        <v>144</v>
      </c>
      <c r="F55" s="5" t="s">
        <v>136</v>
      </c>
      <c r="G55" s="5" t="s">
        <v>24</v>
      </c>
      <c r="H55" s="5" t="s">
        <v>41</v>
      </c>
      <c r="I55" s="15">
        <f t="array" ref="I55">IFERROR(INDEX('Team Ratings'!$B$2:$B$73,MATCH($G55,'Team Ratings'!$A$2:$A$73,0)),"")</f>
        <v>2</v>
      </c>
      <c r="J55" s="15">
        <f t="array" ref="J55">IFERROR(INDEX('Team Ratings'!$B$2:$B$73,MATCH($H55,'Team Ratings'!$A$2:$A$73,0)),"")</f>
        <v>2</v>
      </c>
      <c r="K55" s="12">
        <f>IF($S55=FALSE(),"",ROUND((0.35*IFERROR((U55-AVERAGE('Team Metrics'!$X$2:$X$65))/_xlfn.STDEV.P('Team Metrics'!$X$2:$X$65),0)) + (0.2*IFERROR((V55-AVERAGE('Team Metrics'!$W$2:$W$65))/_xlfn.STDEV.P('Team Metrics'!$W$2:$W$65),0)) + (0.15*IFERROR((W55-AVERAGE('Team Metrics'!$Y$2:$Y$65))/_xlfn.STDEV.P('Team Metrics'!$Y$2:$Y$65),0)) + (0.1*IFERROR((X55-AVERAGE('Team Metrics'!$Z$2:$Z$65))/_xlfn.STDEV.P('Team Metrics'!$Z$2:$Z$65),0)) + (0.1*IFERROR((Y55-AVERAGE('Team Metrics'!$AA$2:$AA$65))/_xlfn.STDEV.P('Team Metrics'!$AA$2:$AA$65),0)) + (0.05*IFERROR((Z55-AVERAGE('Team Metrics'!$AB$2:$AB$65))/_xlfn.STDEV.P('Team Metrics'!$AB$2:$AB$65),0)) + (0.05*IFERROR((AA55-AVERAGE('Team Metrics'!$S$2:$S$65))/IF(_xlfn.STDEV.P('Team Metrics'!$S$2:$S$65)=0,1,_xlfn.STDEV.P('Team Metrics'!$S$2:$S$65)),0)),4))</f>
        <v>9.6799999999999997E-2</v>
      </c>
      <c r="L55" s="12">
        <f>IF($S55=FALSE(),"",ROUND((0.35*IFERROR((AB55-AVERAGE('Team Metrics'!$X$2:$X$65))/_xlfn.STDEV.P('Team Metrics'!$X$2:$X$65),0)) + (0.2*IFERROR((AC55-AVERAGE('Team Metrics'!$W$2:$W$65))/_xlfn.STDEV.P('Team Metrics'!$W$2:$W$65),0)) + (0.15*IFERROR((AD55-AVERAGE('Team Metrics'!$Y$2:$Y$65))/_xlfn.STDEV.P('Team Metrics'!$Y$2:$Y$65),0)) + (0.1*IFERROR((AE55-AVERAGE('Team Metrics'!$Z$2:$Z$65))/_xlfn.STDEV.P('Team Metrics'!$Z$2:$Z$65),0)) + (0.1*IFERROR((AF55-AVERAGE('Team Metrics'!$AA$2:$AA$65))/_xlfn.STDEV.P('Team Metrics'!$AA$2:$AA$65),0)) + (0.05*IFERROR((AG55-AVERAGE('Team Metrics'!$AB$2:$AB$65))/_xlfn.STDEV.P('Team Metrics'!$AB$2:$AB$65),0)) + (0.05*IFERROR((AH55-AVERAGE('Team Metrics'!$S$2:$S$65))/IF(_xlfn.STDEV.P('Team Metrics'!$S$2:$S$65)=0,1,_xlfn.STDEV.P('Team Metrics'!$S$2:$S$65)),0)),4))</f>
        <v>0.80510000000000004</v>
      </c>
      <c r="M55" s="12">
        <f t="shared" si="8"/>
        <v>-0.70830000000000004</v>
      </c>
      <c r="N55" s="10" t="str">
        <f t="shared" si="9"/>
        <v>Purdue</v>
      </c>
      <c r="O55" s="7">
        <f t="shared" si="10"/>
        <v>58.5</v>
      </c>
      <c r="P55" s="5" t="str">
        <f t="shared" si="11"/>
        <v/>
      </c>
      <c r="Q55" s="5" t="s">
        <v>214</v>
      </c>
      <c r="R55" s="5" t="s">
        <v>132</v>
      </c>
      <c r="S55" s="10" t="b">
        <f t="shared" si="12"/>
        <v>1</v>
      </c>
      <c r="T55" s="5" t="str">
        <f t="shared" si="13"/>
        <v>ΔComposite=0.71; AdjNET Δ=-7.6; 3PT Δ=-6.6; TO Δ=5.7; REB Δ=1.7</v>
      </c>
      <c r="U55" s="16">
        <f t="array" ref="U55">IF($S55=FALSE(),"",ROUND((0.75*INDEX('Team Ratings'!$G$2:$G$73,MATCH($G55,'Team Ratings'!$A$2:$A$73,0)))+(0.25*INDEX('Team Ratings'!$T$2:$T$73,MATCH($G55,'Team Ratings'!$A$2:$A$73,0))),3))</f>
        <v>25.95</v>
      </c>
      <c r="V55" s="16">
        <f t="array" ref="V55">IF($S55=FALSE(),"",ROUND(INDEX('Team Ratings'!$T$2:$T$73,MATCH($G55,'Team Ratings'!$A$2:$A$73,0))-INDEX('Team Ratings'!$G$2:$G$73,MATCH($G55,'Team Ratings'!$A$2:$A$73,0)),3))</f>
        <v>-8.6</v>
      </c>
      <c r="W55" s="16">
        <f t="array" ref="W55">IF($S55=FALSE(),"",ROUND(INDEX('Team Ratings'!$O$2:$O$73,MATCH($G55,'Team Ratings'!$A$2:$A$73,0))-INDEX('Team Ratings'!$P$2:$P$73,MATCH($H55,'Team Ratings'!$A$2:$A$73,0)),3))</f>
        <v>1</v>
      </c>
      <c r="X55" s="16">
        <f t="array" ref="X55">IF($S55=FALSE(),"",ROUND(INDEX('Team Ratings'!$K$2:$K$73,MATCH($G55,'Team Ratings'!$A$2:$A$73,0))-INDEX('Team Ratings'!$J$2:$J$73,MATCH($H55,'Team Ratings'!$A$2:$A$73,0)),3))</f>
        <v>4.5</v>
      </c>
      <c r="Y55" s="16">
        <f t="array" ref="Y55">IF($S55=FALSE(),"",ROUND(MAX(0,MIN(10,5+((INDEX('Team Ratings'!$L$2:$L$73,MATCH($G55,'Team Ratings'!$A$2:$A$73,0))-INDEX('Team Ratings'!$M$2:$M$73,MATCH($H55,'Team Ratings'!$A$2:$A$73,0)))+(INDEX('Team Ratings'!$M$2:$M$73,MATCH($G55,'Team Ratings'!$A$2:$A$73,0))-INDEX('Team Ratings'!$L$2:$L$73,MATCH($H55,'Team Ratings'!$A$2:$A$73,0))))/2)),3))</f>
        <v>5.85</v>
      </c>
      <c r="Z55" s="16">
        <f t="array" ref="Z55">IF($S55=FALSE(),"",ROUND((1/I55)*4 + (INDEX('Team Ratings'!$T$2:$T$73,MATCH($G55,'Team Ratings'!$A$2:$A$73,0))/MAX('Team Ratings'!$T$2:$T$73))*4 + (1-(INDEX('Team Ratings'!$J$2:$J$73,MATCH($G55,'Team Ratings'!$A$2:$A$73,0))/MAX('Team Ratings'!$J$2:$J$73)))*2 + (INDEX('Team Ratings'!$N$2:$N$73,MATCH($G55,'Team Ratings'!$A$2:$A$73,0))/MAX('Team Ratings'!$N$2:$N$73)) + (INDEX('Team Ratings'!$M$2:$M$73,MATCH($G55,'Team Ratings'!$A$2:$A$73,0))/MAX('Team Ratings'!$M$2:$M$73)),2))</f>
        <v>5.74</v>
      </c>
      <c r="AA55" s="16">
        <f t="array" ref="AA55">IF($S55=FALSE(),"",IFERROR(INDEX('Team Ratings'!$Q$2:$Q$73,MATCH($G55,'Team Ratings'!$A$2:$A$73,0)),0))</f>
        <v>0</v>
      </c>
      <c r="AB55" s="16">
        <f t="array" ref="AB55">IF($S55=FALSE(),"",ROUND((0.75*INDEX('Team Ratings'!$G$2:$G$73,MATCH($H55,'Team Ratings'!$A$2:$A$73,0)))+(0.25*INDEX('Team Ratings'!$T$2:$T$73,MATCH($H55,'Team Ratings'!$A$2:$A$73,0))),3))</f>
        <v>33.549999999999997</v>
      </c>
      <c r="AC55" s="16">
        <f t="array" ref="AC55">IF($S55=FALSE(),"",ROUND(INDEX('Team Ratings'!$T$2:$T$73,MATCH($H55,'Team Ratings'!$A$2:$A$73,0))-INDEX('Team Ratings'!$G$2:$G$73,MATCH($H55,'Team Ratings'!$A$2:$A$73,0)),3))</f>
        <v>2.2000000000000002</v>
      </c>
      <c r="AD55" s="16">
        <f t="array" ref="AD55">IF($S55=FALSE(),"",ROUND(INDEX('Team Ratings'!$O$2:$O$73,MATCH($H55,'Team Ratings'!$A$2:$A$73,0))-INDEX('Team Ratings'!$P$2:$P$73,MATCH($G55,'Team Ratings'!$A$2:$A$73,0)),3))</f>
        <v>7.6</v>
      </c>
      <c r="AE55" s="16">
        <f t="array" ref="AE55">IF($S55=FALSE(),"",ROUND(INDEX('Team Ratings'!$K$2:$K$73,MATCH($H55,'Team Ratings'!$A$2:$A$73,0))-INDEX('Team Ratings'!$J$2:$J$73,MATCH($G55,'Team Ratings'!$A$2:$A$73,0)),3))</f>
        <v>-1.2</v>
      </c>
      <c r="AF55" s="16">
        <f t="array" ref="AF55">IF($S55=FALSE(),"",ROUND(MAX(0,MIN(10,5+((INDEX('Team Ratings'!$L$2:$L$73,MATCH($H55,'Team Ratings'!$A$2:$A$73,0))-INDEX('Team Ratings'!$M$2:$M$73,MATCH($G55,'Team Ratings'!$A$2:$A$73,0)))+(INDEX('Team Ratings'!$M$2:$M$73,MATCH($H55,'Team Ratings'!$A$2:$A$73,0))-INDEX('Team Ratings'!$L$2:$L$73,MATCH($G55,'Team Ratings'!$A$2:$A$73,0))))/2)),3))</f>
        <v>4.1500000000000004</v>
      </c>
      <c r="AG55" s="16">
        <f t="array" ref="AG55">IF($S55=FALSE(),"",ROUND((1/J55)*4 + (INDEX('Team Ratings'!$T$2:$T$73,MATCH($H55,'Team Ratings'!$A$2:$A$73,0))/MAX('Team Ratings'!$T$2:$T$73))*4 + (1-(INDEX('Team Ratings'!$J$2:$J$73,MATCH($H55,'Team Ratings'!$A$2:$A$73,0))/MAX('Team Ratings'!$J$2:$J$73)))*2 + (INDEX('Team Ratings'!$N$2:$N$73,MATCH($H55,'Team Ratings'!$A$2:$A$73,0))/MAX('Team Ratings'!$N$2:$N$73)) + (INDEX('Team Ratings'!$M$2:$M$73,MATCH($H55,'Team Ratings'!$A$2:$A$73,0))/MAX('Team Ratings'!$M$2:$M$73)),2))</f>
        <v>7.57</v>
      </c>
      <c r="AH55" s="16">
        <f t="array" ref="AH55">IF($S55=FALSE(),"",IFERROR(INDEX('Team Ratings'!$Q$2:$Q$73,MATCH($H55,'Team Ratings'!$A$2:$A$73,0)),0))</f>
        <v>0</v>
      </c>
      <c r="AI55" s="10" t="b">
        <f t="shared" si="14"/>
        <v>1</v>
      </c>
      <c r="AJ55" s="10"/>
      <c r="AK55" s="10" t="str">
        <f t="shared" si="15"/>
        <v>Purdue</v>
      </c>
      <c r="AL55" s="10">
        <v>9</v>
      </c>
    </row>
    <row r="56" spans="1:38" ht="20" customHeight="1" x14ac:dyDescent="0.2">
      <c r="A56" s="14" t="s">
        <v>209</v>
      </c>
      <c r="B56" s="14" t="s">
        <v>211</v>
      </c>
      <c r="C56" s="5">
        <f>_xlfn.SWITCH(B56,
 "Round 1",1,
 "Round 2",2,
 "Sweet 16",3,
 "Elite 8",4,
 "Final Four",5,
 "Championship",6
)*100
+
COUNTIF($B$2:B56,B56)</f>
        <v>307</v>
      </c>
      <c r="D56" s="5" t="s">
        <v>79</v>
      </c>
      <c r="E56" s="5" t="s">
        <v>125</v>
      </c>
      <c r="F56" s="5" t="s">
        <v>150</v>
      </c>
      <c r="G56" s="5" t="s">
        <v>72</v>
      </c>
      <c r="H56" s="5" t="s">
        <v>82</v>
      </c>
      <c r="I56" s="15">
        <f t="array" ref="I56">IFERROR(INDEX('Team Ratings'!$B$2:$B$73,MATCH($G56,'Team Ratings'!$A$2:$A$73,0)),"")</f>
        <v>13</v>
      </c>
      <c r="J56" s="15">
        <f t="array" ref="J56">IFERROR(INDEX('Team Ratings'!$B$2:$B$73,MATCH($H56,'Team Ratings'!$A$2:$A$73,0)),"")</f>
        <v>4</v>
      </c>
      <c r="K56" s="12">
        <f>IF($S56=FALSE(),"",ROUND((0.35*IFERROR((U56-AVERAGE('Team Metrics'!$X$2:$X$65))/_xlfn.STDEV.P('Team Metrics'!$X$2:$X$65),0)) + (0.2*IFERROR((V56-AVERAGE('Team Metrics'!$W$2:$W$65))/_xlfn.STDEV.P('Team Metrics'!$W$2:$W$65),0)) + (0.15*IFERROR((W56-AVERAGE('Team Metrics'!$Y$2:$Y$65))/_xlfn.STDEV.P('Team Metrics'!$Y$2:$Y$65),0)) + (0.1*IFERROR((X56-AVERAGE('Team Metrics'!$Z$2:$Z$65))/_xlfn.STDEV.P('Team Metrics'!$Z$2:$Z$65),0)) + (0.1*IFERROR((Y56-AVERAGE('Team Metrics'!$AA$2:$AA$65))/_xlfn.STDEV.P('Team Metrics'!$AA$2:$AA$65),0)) + (0.05*IFERROR((Z56-AVERAGE('Team Metrics'!$AB$2:$AB$65))/_xlfn.STDEV.P('Team Metrics'!$AB$2:$AB$65),0)) + (0.05*IFERROR((AA56-AVERAGE('Team Metrics'!$S$2:$S$65))/IF(_xlfn.STDEV.P('Team Metrics'!$S$2:$S$65)=0,1,_xlfn.STDEV.P('Team Metrics'!$S$2:$S$65)),0)),4))</f>
        <v>-0.20430000000000001</v>
      </c>
      <c r="L56" s="12">
        <f>IF($S56=FALSE(),"",ROUND((0.35*IFERROR((AB56-AVERAGE('Team Metrics'!$X$2:$X$65))/_xlfn.STDEV.P('Team Metrics'!$X$2:$X$65),0)) + (0.2*IFERROR((AC56-AVERAGE('Team Metrics'!$W$2:$W$65))/_xlfn.STDEV.P('Team Metrics'!$W$2:$W$65),0)) + (0.15*IFERROR((AD56-AVERAGE('Team Metrics'!$Y$2:$Y$65))/_xlfn.STDEV.P('Team Metrics'!$Y$2:$Y$65),0)) + (0.1*IFERROR((AE56-AVERAGE('Team Metrics'!$Z$2:$Z$65))/_xlfn.STDEV.P('Team Metrics'!$Z$2:$Z$65),0)) + (0.1*IFERROR((AF56-AVERAGE('Team Metrics'!$AA$2:$AA$65))/_xlfn.STDEV.P('Team Metrics'!$AA$2:$AA$65),0)) + (0.05*IFERROR((AG56-AVERAGE('Team Metrics'!$AB$2:$AB$65))/_xlfn.STDEV.P('Team Metrics'!$AB$2:$AB$65),0)) + (0.05*IFERROR((AH56-AVERAGE('Team Metrics'!$S$2:$S$65))/IF(_xlfn.STDEV.P('Team Metrics'!$S$2:$S$65)=0,1,_xlfn.STDEV.P('Team Metrics'!$S$2:$S$65)),0)),4))</f>
        <v>-7.8899999999999998E-2</v>
      </c>
      <c r="M56" s="12">
        <f t="shared" si="8"/>
        <v>-0.12540000000000001</v>
      </c>
      <c r="N56" s="10" t="str">
        <f t="shared" si="9"/>
        <v>Alabama</v>
      </c>
      <c r="O56" s="7">
        <f t="shared" si="10"/>
        <v>51.5</v>
      </c>
      <c r="P56" s="5" t="str">
        <f t="shared" si="11"/>
        <v/>
      </c>
      <c r="Q56" s="5" t="s">
        <v>215</v>
      </c>
      <c r="R56" s="5" t="s">
        <v>123</v>
      </c>
      <c r="S56" s="10" t="b">
        <f t="shared" si="12"/>
        <v>1</v>
      </c>
      <c r="T56" s="5" t="str">
        <f t="shared" si="13"/>
        <v>ΔComposite=0.13; AdjNET Δ=-19.7; 3PT Δ=-4.8; TO Δ=8.3; REB Δ=1.8</v>
      </c>
      <c r="U56" s="16">
        <f t="array" ref="U56">IF($S56=FALSE(),"",ROUND((0.75*INDEX('Team Ratings'!$G$2:$G$73,MATCH($G56,'Team Ratings'!$A$2:$A$73,0)))+(0.25*INDEX('Team Ratings'!$T$2:$T$73,MATCH($G56,'Team Ratings'!$A$2:$A$73,0))),3))</f>
        <v>5</v>
      </c>
      <c r="V56" s="16">
        <f t="array" ref="V56">IF($S56=FALSE(),"",ROUND(INDEX('Team Ratings'!$T$2:$T$73,MATCH($G56,'Team Ratings'!$A$2:$A$73,0))-INDEX('Team Ratings'!$G$2:$G$73,MATCH($G56,'Team Ratings'!$A$2:$A$73,0)),3))</f>
        <v>13.2</v>
      </c>
      <c r="W56" s="16">
        <f t="array" ref="W56">IF($S56=FALSE(),"",ROUND(INDEX('Team Ratings'!$O$2:$O$73,MATCH($G56,'Team Ratings'!$A$2:$A$73,0))-INDEX('Team Ratings'!$P$2:$P$73,MATCH($H56,'Team Ratings'!$A$2:$A$73,0)),3))</f>
        <v>-0.3</v>
      </c>
      <c r="X56" s="16">
        <f t="array" ref="X56">IF($S56=FALSE(),"",ROUND(INDEX('Team Ratings'!$K$2:$K$73,MATCH($G56,'Team Ratings'!$A$2:$A$73,0))-INDEX('Team Ratings'!$J$2:$J$73,MATCH($H56,'Team Ratings'!$A$2:$A$73,0)),3))</f>
        <v>3.9</v>
      </c>
      <c r="Y56" s="16">
        <f t="array" ref="Y56">IF($S56=FALSE(),"",ROUND(MAX(0,MIN(10,5+((INDEX('Team Ratings'!$L$2:$L$73,MATCH($G56,'Team Ratings'!$A$2:$A$73,0))-INDEX('Team Ratings'!$M$2:$M$73,MATCH($H56,'Team Ratings'!$A$2:$A$73,0)))+(INDEX('Team Ratings'!$M$2:$M$73,MATCH($G56,'Team Ratings'!$A$2:$A$73,0))-INDEX('Team Ratings'!$L$2:$L$73,MATCH($H56,'Team Ratings'!$A$2:$A$73,0))))/2)),3))</f>
        <v>5.9</v>
      </c>
      <c r="Z56" s="16">
        <f t="array" ref="Z56">IF($S56=FALSE(),"",ROUND((1/I56)*4 + (INDEX('Team Ratings'!$T$2:$T$73,MATCH($G56,'Team Ratings'!$A$2:$A$73,0))/MAX('Team Ratings'!$T$2:$T$73))*4 + (1-(INDEX('Team Ratings'!$J$2:$J$73,MATCH($G56,'Team Ratings'!$A$2:$A$73,0))/MAX('Team Ratings'!$J$2:$J$73)))*2 + (INDEX('Team Ratings'!$N$2:$N$73,MATCH($G56,'Team Ratings'!$A$2:$A$73,0))/MAX('Team Ratings'!$N$2:$N$73)) + (INDEX('Team Ratings'!$M$2:$M$73,MATCH($G56,'Team Ratings'!$A$2:$A$73,0))/MAX('Team Ratings'!$M$2:$M$73)),2))</f>
        <v>3.78</v>
      </c>
      <c r="AA56" s="16">
        <f t="array" ref="AA56">IF($S56=FALSE(),"",IFERROR(INDEX('Team Ratings'!$Q$2:$Q$73,MATCH($G56,'Team Ratings'!$A$2:$A$73,0)),0))</f>
        <v>0</v>
      </c>
      <c r="AB56" s="16">
        <f t="array" ref="AB56">IF($S56=FALSE(),"",ROUND((0.75*INDEX('Team Ratings'!$G$2:$G$73,MATCH($H56,'Team Ratings'!$A$2:$A$73,0)))+(0.25*INDEX('Team Ratings'!$T$2:$T$73,MATCH($H56,'Team Ratings'!$A$2:$A$73,0))),3))</f>
        <v>24.7</v>
      </c>
      <c r="AC56" s="16">
        <f t="array" ref="AC56">IF($S56=FALSE(),"",ROUND(INDEX('Team Ratings'!$T$2:$T$73,MATCH($H56,'Team Ratings'!$A$2:$A$73,0))-INDEX('Team Ratings'!$G$2:$G$73,MATCH($H56,'Team Ratings'!$A$2:$A$73,0)),3))</f>
        <v>-8</v>
      </c>
      <c r="AD56" s="16">
        <f t="array" ref="AD56">IF($S56=FALSE(),"",ROUND(INDEX('Team Ratings'!$O$2:$O$73,MATCH($H56,'Team Ratings'!$A$2:$A$73,0))-INDEX('Team Ratings'!$P$2:$P$73,MATCH($G56,'Team Ratings'!$A$2:$A$73,0)),3))</f>
        <v>4.5</v>
      </c>
      <c r="AE56" s="16">
        <f t="array" ref="AE56">IF($S56=FALSE(),"",ROUND(INDEX('Team Ratings'!$K$2:$K$73,MATCH($H56,'Team Ratings'!$A$2:$A$73,0))-INDEX('Team Ratings'!$J$2:$J$73,MATCH($G56,'Team Ratings'!$A$2:$A$73,0)),3))</f>
        <v>-4.4000000000000004</v>
      </c>
      <c r="AF56" s="16">
        <f t="array" ref="AF56">IF($S56=FALSE(),"",ROUND(MAX(0,MIN(10,5+((INDEX('Team Ratings'!$L$2:$L$73,MATCH($H56,'Team Ratings'!$A$2:$A$73,0))-INDEX('Team Ratings'!$M$2:$M$73,MATCH($G56,'Team Ratings'!$A$2:$A$73,0)))+(INDEX('Team Ratings'!$M$2:$M$73,MATCH($H56,'Team Ratings'!$A$2:$A$73,0))-INDEX('Team Ratings'!$L$2:$L$73,MATCH($G56,'Team Ratings'!$A$2:$A$73,0))))/2)),3))</f>
        <v>4.0999999999999996</v>
      </c>
      <c r="AG56" s="16">
        <f t="array" ref="AG56">IF($S56=FALSE(),"",ROUND((1/J56)*4 + (INDEX('Team Ratings'!$T$2:$T$73,MATCH($H56,'Team Ratings'!$A$2:$A$73,0))/MAX('Team Ratings'!$T$2:$T$73))*4 + (1-(INDEX('Team Ratings'!$J$2:$J$73,MATCH($H56,'Team Ratings'!$A$2:$A$73,0))/MAX('Team Ratings'!$J$2:$J$73)))*2 + (INDEX('Team Ratings'!$N$2:$N$73,MATCH($H56,'Team Ratings'!$A$2:$A$73,0))/MAX('Team Ratings'!$N$2:$N$73)) + (INDEX('Team Ratings'!$M$2:$M$73,MATCH($H56,'Team Ratings'!$A$2:$A$73,0))/MAX('Team Ratings'!$M$2:$M$73)),2))</f>
        <v>5.32</v>
      </c>
      <c r="AH56" s="16">
        <f t="array" ref="AH56">IF($S56=FALSE(),"",IFERROR(INDEX('Team Ratings'!$Q$2:$Q$73,MATCH($H56,'Team Ratings'!$A$2:$A$73,0)),0))</f>
        <v>0</v>
      </c>
      <c r="AI56" s="10" t="b">
        <f t="shared" si="14"/>
        <v>1</v>
      </c>
      <c r="AJ56" s="10"/>
      <c r="AK56" s="10" t="str">
        <f t="shared" si="15"/>
        <v>Alabama</v>
      </c>
      <c r="AL56" s="10">
        <v>9</v>
      </c>
    </row>
    <row r="57" spans="1:38" ht="20" customHeight="1" x14ac:dyDescent="0.2">
      <c r="A57" s="14" t="s">
        <v>210</v>
      </c>
      <c r="B57" s="14" t="s">
        <v>211</v>
      </c>
      <c r="C57" s="5">
        <f>_xlfn.SWITCH(B57,
 "Round 1",1,
 "Round 2",2,
 "Sweet 16",3,
 "Elite 8",4,
 "Final Four",5,
 "Championship",6
)*100
+
COUNTIF($B$2:B57,B57)</f>
        <v>308</v>
      </c>
      <c r="D57" s="5" t="s">
        <v>79</v>
      </c>
      <c r="E57" s="5" t="s">
        <v>142</v>
      </c>
      <c r="F57" s="5" t="s">
        <v>134</v>
      </c>
      <c r="G57" s="5" t="s">
        <v>61</v>
      </c>
      <c r="H57" s="5" t="s">
        <v>80</v>
      </c>
      <c r="I57" s="15">
        <f t="array" ref="I57">IFERROR(INDEX('Team Ratings'!$B$2:$B$73,MATCH($G57,'Team Ratings'!$A$2:$A$73,0)),"")</f>
        <v>2</v>
      </c>
      <c r="J57" s="15">
        <f t="array" ref="J57">IFERROR(INDEX('Team Ratings'!$B$2:$B$73,MATCH($H57,'Team Ratings'!$A$2:$A$73,0)),"")</f>
        <v>2</v>
      </c>
      <c r="K57" s="12">
        <f>IF($S57=FALSE(),"",ROUND((0.35*IFERROR((U57-AVERAGE('Team Metrics'!$X$2:$X$65))/_xlfn.STDEV.P('Team Metrics'!$X$2:$X$65),0)) + (0.2*IFERROR((V57-AVERAGE('Team Metrics'!$W$2:$W$65))/_xlfn.STDEV.P('Team Metrics'!$W$2:$W$65),0)) + (0.15*IFERROR((W57-AVERAGE('Team Metrics'!$Y$2:$Y$65))/_xlfn.STDEV.P('Team Metrics'!$Y$2:$Y$65),0)) + (0.1*IFERROR((X57-AVERAGE('Team Metrics'!$Z$2:$Z$65))/_xlfn.STDEV.P('Team Metrics'!$Z$2:$Z$65),0)) + (0.1*IFERROR((Y57-AVERAGE('Team Metrics'!$AA$2:$AA$65))/_xlfn.STDEV.P('Team Metrics'!$AA$2:$AA$65),0)) + (0.05*IFERROR((Z57-AVERAGE('Team Metrics'!$AB$2:$AB$65))/_xlfn.STDEV.P('Team Metrics'!$AB$2:$AB$65),0)) + (0.05*IFERROR((AA57-AVERAGE('Team Metrics'!$S$2:$S$65))/IF(_xlfn.STDEV.P('Team Metrics'!$S$2:$S$65)=0,1,_xlfn.STDEV.P('Team Metrics'!$S$2:$S$65)),0)),4))</f>
        <v>0.55000000000000004</v>
      </c>
      <c r="L57" s="12">
        <f>IF($S57=FALSE(),"",ROUND((0.35*IFERROR((AB57-AVERAGE('Team Metrics'!$X$2:$X$65))/_xlfn.STDEV.P('Team Metrics'!$X$2:$X$65),0)) + (0.2*IFERROR((AC57-AVERAGE('Team Metrics'!$W$2:$W$65))/_xlfn.STDEV.P('Team Metrics'!$W$2:$W$65),0)) + (0.15*IFERROR((AD57-AVERAGE('Team Metrics'!$Y$2:$Y$65))/_xlfn.STDEV.P('Team Metrics'!$Y$2:$Y$65),0)) + (0.1*IFERROR((AE57-AVERAGE('Team Metrics'!$Z$2:$Z$65))/_xlfn.STDEV.P('Team Metrics'!$Z$2:$Z$65),0)) + (0.1*IFERROR((AF57-AVERAGE('Team Metrics'!$AA$2:$AA$65))/_xlfn.STDEV.P('Team Metrics'!$AA$2:$AA$65),0)) + (0.05*IFERROR((AG57-AVERAGE('Team Metrics'!$AB$2:$AB$65))/_xlfn.STDEV.P('Team Metrics'!$AB$2:$AB$65),0)) + (0.05*IFERROR((AH57-AVERAGE('Team Metrics'!$S$2:$S$65))/IF(_xlfn.STDEV.P('Team Metrics'!$S$2:$S$65)=0,1,_xlfn.STDEV.P('Team Metrics'!$S$2:$S$65)),0)),4))</f>
        <v>1.2083999999999999</v>
      </c>
      <c r="M57" s="12">
        <f t="shared" si="8"/>
        <v>-0.65839999999999999</v>
      </c>
      <c r="N57" s="10" t="str">
        <f t="shared" si="9"/>
        <v>Iowa St.</v>
      </c>
      <c r="O57" s="7">
        <f t="shared" si="10"/>
        <v>57.9</v>
      </c>
      <c r="P57" s="5" t="str">
        <f t="shared" si="11"/>
        <v/>
      </c>
      <c r="Q57" s="5" t="s">
        <v>215</v>
      </c>
      <c r="R57" s="5" t="s">
        <v>132</v>
      </c>
      <c r="S57" s="10" t="b">
        <f t="shared" si="12"/>
        <v>1</v>
      </c>
      <c r="T57" s="5" t="str">
        <f t="shared" si="13"/>
        <v>ΔComposite=0.66; AdjNET Δ=-1.3; 3PT Δ=-3.8; TO Δ=-3.5; REB Δ=3.4</v>
      </c>
      <c r="U57" s="16">
        <f t="array" ref="U57">IF($S57=FALSE(),"",ROUND((0.75*INDEX('Team Ratings'!$G$2:$G$73,MATCH($G57,'Team Ratings'!$A$2:$A$73,0)))+(0.25*INDEX('Team Ratings'!$T$2:$T$73,MATCH($G57,'Team Ratings'!$A$2:$A$73,0))),3))</f>
        <v>31.975000000000001</v>
      </c>
      <c r="V57" s="16">
        <f t="array" ref="V57">IF($S57=FALSE(),"",ROUND(INDEX('Team Ratings'!$T$2:$T$73,MATCH($G57,'Team Ratings'!$A$2:$A$73,0))-INDEX('Team Ratings'!$G$2:$G$73,MATCH($G57,'Team Ratings'!$A$2:$A$73,0)),3))</f>
        <v>-3.7</v>
      </c>
      <c r="W57" s="16">
        <f t="array" ref="W57">IF($S57=FALSE(),"",ROUND(INDEX('Team Ratings'!$O$2:$O$73,MATCH($G57,'Team Ratings'!$A$2:$A$73,0))-INDEX('Team Ratings'!$P$2:$P$73,MATCH($H57,'Team Ratings'!$A$2:$A$73,0)),3))</f>
        <v>2.8</v>
      </c>
      <c r="X57" s="16">
        <f t="array" ref="X57">IF($S57=FALSE(),"",ROUND(INDEX('Team Ratings'!$K$2:$K$73,MATCH($G57,'Team Ratings'!$A$2:$A$73,0))-INDEX('Team Ratings'!$J$2:$J$73,MATCH($H57,'Team Ratings'!$A$2:$A$73,0)),3))</f>
        <v>5.9</v>
      </c>
      <c r="Y57" s="16">
        <f t="array" ref="Y57">IF($S57=FALSE(),"",ROUND(MAX(0,MIN(10,5+((INDEX('Team Ratings'!$L$2:$L$73,MATCH($G57,'Team Ratings'!$A$2:$A$73,0))-INDEX('Team Ratings'!$M$2:$M$73,MATCH($H57,'Team Ratings'!$A$2:$A$73,0)))+(INDEX('Team Ratings'!$M$2:$M$73,MATCH($G57,'Team Ratings'!$A$2:$A$73,0))-INDEX('Team Ratings'!$L$2:$L$73,MATCH($H57,'Team Ratings'!$A$2:$A$73,0))))/2)),3))</f>
        <v>6.7</v>
      </c>
      <c r="Z57" s="16">
        <f t="array" ref="Z57">IF($S57=FALSE(),"",ROUND((1/I57)*4 + (INDEX('Team Ratings'!$T$2:$T$73,MATCH($G57,'Team Ratings'!$A$2:$A$73,0))/MAX('Team Ratings'!$T$2:$T$73))*4 + (1-(INDEX('Team Ratings'!$J$2:$J$73,MATCH($G57,'Team Ratings'!$A$2:$A$73,0))/MAX('Team Ratings'!$J$2:$J$73)))*2 + (INDEX('Team Ratings'!$N$2:$N$73,MATCH($G57,'Team Ratings'!$A$2:$A$73,0))/MAX('Team Ratings'!$N$2:$N$73)) + (INDEX('Team Ratings'!$M$2:$M$73,MATCH($G57,'Team Ratings'!$A$2:$A$73,0))/MAX('Team Ratings'!$M$2:$M$73)),2))</f>
        <v>7.1</v>
      </c>
      <c r="AA57" s="16">
        <f t="array" ref="AA57">IF($S57=FALSE(),"",IFERROR(INDEX('Team Ratings'!$Q$2:$Q$73,MATCH($G57,'Team Ratings'!$A$2:$A$73,0)),0))</f>
        <v>-1</v>
      </c>
      <c r="AB57" s="16">
        <f t="array" ref="AB57">IF($S57=FALSE(),"",ROUND((0.75*INDEX('Team Ratings'!$G$2:$G$73,MATCH($H57,'Team Ratings'!$A$2:$A$73,0)))+(0.25*INDEX('Team Ratings'!$T$2:$T$73,MATCH($H57,'Team Ratings'!$A$2:$A$73,0))),3))</f>
        <v>33.225000000000001</v>
      </c>
      <c r="AC57" s="16">
        <f t="array" ref="AC57">IF($S57=FALSE(),"",ROUND(INDEX('Team Ratings'!$T$2:$T$73,MATCH($H57,'Team Ratings'!$A$2:$A$73,0))-INDEX('Team Ratings'!$G$2:$G$73,MATCH($H57,'Team Ratings'!$A$2:$A$73,0)),3))</f>
        <v>8.1</v>
      </c>
      <c r="AD57" s="16">
        <f t="array" ref="AD57">IF($S57=FALSE(),"",ROUND(INDEX('Team Ratings'!$O$2:$O$73,MATCH($H57,'Team Ratings'!$A$2:$A$73,0))-INDEX('Team Ratings'!$P$2:$P$73,MATCH($G57,'Team Ratings'!$A$2:$A$73,0)),3))</f>
        <v>6.6</v>
      </c>
      <c r="AE57" s="16">
        <f t="array" ref="AE57">IF($S57=FALSE(),"",ROUND(INDEX('Team Ratings'!$K$2:$K$73,MATCH($H57,'Team Ratings'!$A$2:$A$73,0))-INDEX('Team Ratings'!$J$2:$J$73,MATCH($G57,'Team Ratings'!$A$2:$A$73,0)),3))</f>
        <v>9.4</v>
      </c>
      <c r="AF57" s="16">
        <f t="array" ref="AF57">IF($S57=FALSE(),"",ROUND(MAX(0,MIN(10,5+((INDEX('Team Ratings'!$L$2:$L$73,MATCH($H57,'Team Ratings'!$A$2:$A$73,0))-INDEX('Team Ratings'!$M$2:$M$73,MATCH($G57,'Team Ratings'!$A$2:$A$73,0)))+(INDEX('Team Ratings'!$M$2:$M$73,MATCH($H57,'Team Ratings'!$A$2:$A$73,0))-INDEX('Team Ratings'!$L$2:$L$73,MATCH($G57,'Team Ratings'!$A$2:$A$73,0))))/2)),3))</f>
        <v>3.3</v>
      </c>
      <c r="AG57" s="16">
        <f t="array" ref="AG57">IF($S57=FALSE(),"",ROUND((1/J57)*4 + (INDEX('Team Ratings'!$T$2:$T$73,MATCH($H57,'Team Ratings'!$A$2:$A$73,0))/MAX('Team Ratings'!$T$2:$T$73))*4 + (1-(INDEX('Team Ratings'!$J$2:$J$73,MATCH($H57,'Team Ratings'!$A$2:$A$73,0))/MAX('Team Ratings'!$J$2:$J$73)))*2 + (INDEX('Team Ratings'!$N$2:$N$73,MATCH($H57,'Team Ratings'!$A$2:$A$73,0))/MAX('Team Ratings'!$N$2:$N$73)) + (INDEX('Team Ratings'!$M$2:$M$73,MATCH($H57,'Team Ratings'!$A$2:$A$73,0))/MAX('Team Ratings'!$M$2:$M$73)),2))</f>
        <v>7.98</v>
      </c>
      <c r="AH57" s="16">
        <f t="array" ref="AH57">IF($S57=FALSE(),"",IFERROR(INDEX('Team Ratings'!$Q$2:$Q$73,MATCH($H57,'Team Ratings'!$A$2:$A$73,0)),0))</f>
        <v>0</v>
      </c>
      <c r="AI57" s="10" t="b">
        <f t="shared" si="14"/>
        <v>1</v>
      </c>
      <c r="AJ57" s="10"/>
      <c r="AK57" s="10" t="str">
        <f t="shared" si="15"/>
        <v>Iowa St.</v>
      </c>
      <c r="AL57" s="10">
        <v>9</v>
      </c>
    </row>
    <row r="58" spans="1:38" ht="20" customHeight="1" x14ac:dyDescent="0.2">
      <c r="A58" s="14" t="s">
        <v>212</v>
      </c>
      <c r="B58" s="14" t="s">
        <v>216</v>
      </c>
      <c r="C58" s="5">
        <f>_xlfn.SWITCH(B58,
 "Round 1",1,
 "Round 2",2,
 "Sweet 16",3,
 "Elite 8",4,
 "Final Four",5,
 "Championship",6
)*100
+
COUNTIF($B$2:B58,B58)</f>
        <v>401</v>
      </c>
      <c r="D58" s="5" t="s">
        <v>22</v>
      </c>
      <c r="E58" s="5" t="s">
        <v>203</v>
      </c>
      <c r="F58" s="5" t="s">
        <v>204</v>
      </c>
      <c r="G58" s="5" t="s">
        <v>30</v>
      </c>
      <c r="H58" s="5" t="s">
        <v>29</v>
      </c>
      <c r="I58" s="15">
        <f t="array" ref="I58">IFERROR(INDEX('Team Ratings'!$B$2:$B$73,MATCH($G58,'Team Ratings'!$A$2:$A$73,0)),"")</f>
        <v>8</v>
      </c>
      <c r="J58" s="15">
        <f t="array" ref="J58">IFERROR(INDEX('Team Ratings'!$B$2:$B$73,MATCH($H58,'Team Ratings'!$A$2:$A$73,0)),"")</f>
        <v>7</v>
      </c>
      <c r="K58" s="12">
        <f>IF($S58=FALSE(),"",ROUND((0.35*IFERROR((U58-AVERAGE('Team Metrics'!$X$2:$X$65))/_xlfn.STDEV.P('Team Metrics'!$X$2:$X$65),0)) + (0.2*IFERROR((V58-AVERAGE('Team Metrics'!$W$2:$W$65))/_xlfn.STDEV.P('Team Metrics'!$W$2:$W$65),0)) + (0.15*IFERROR((W58-AVERAGE('Team Metrics'!$Y$2:$Y$65))/_xlfn.STDEV.P('Team Metrics'!$Y$2:$Y$65),0)) + (0.1*IFERROR((X58-AVERAGE('Team Metrics'!$Z$2:$Z$65))/_xlfn.STDEV.P('Team Metrics'!$Z$2:$Z$65),0)) + (0.1*IFERROR((Y58-AVERAGE('Team Metrics'!$AA$2:$AA$65))/_xlfn.STDEV.P('Team Metrics'!$AA$2:$AA$65),0)) + (0.05*IFERROR((Z58-AVERAGE('Team Metrics'!$AB$2:$AB$65))/_xlfn.STDEV.P('Team Metrics'!$AB$2:$AB$65),0)) + (0.05*IFERROR((AA58-AVERAGE('Team Metrics'!$S$2:$S$65))/IF(_xlfn.STDEV.P('Team Metrics'!$S$2:$S$65)=0,1,_xlfn.STDEV.P('Team Metrics'!$S$2:$S$65)),0)),4))</f>
        <v>0.76439999999999997</v>
      </c>
      <c r="L58" s="12">
        <f>IF($S58=FALSE(),"",ROUND((0.35*IFERROR((AB58-AVERAGE('Team Metrics'!$X$2:$X$65))/_xlfn.STDEV.P('Team Metrics'!$X$2:$X$65),0)) + (0.2*IFERROR((AC58-AVERAGE('Team Metrics'!$W$2:$W$65))/_xlfn.STDEV.P('Team Metrics'!$W$2:$W$65),0)) + (0.15*IFERROR((AD58-AVERAGE('Team Metrics'!$Y$2:$Y$65))/_xlfn.STDEV.P('Team Metrics'!$Y$2:$Y$65),0)) + (0.1*IFERROR((AE58-AVERAGE('Team Metrics'!$Z$2:$Z$65))/_xlfn.STDEV.P('Team Metrics'!$Z$2:$Z$65),0)) + (0.1*IFERROR((AF58-AVERAGE('Team Metrics'!$AA$2:$AA$65))/_xlfn.STDEV.P('Team Metrics'!$AA$2:$AA$65),0)) + (0.05*IFERROR((AG58-AVERAGE('Team Metrics'!$AB$2:$AB$65))/_xlfn.STDEV.P('Team Metrics'!$AB$2:$AB$65),0)) + (0.05*IFERROR((AH58-AVERAGE('Team Metrics'!$S$2:$S$65))/IF(_xlfn.STDEV.P('Team Metrics'!$S$2:$S$65)=0,1,_xlfn.STDEV.P('Team Metrics'!$S$2:$S$65)),0)),4))</f>
        <v>0.90039999999999998</v>
      </c>
      <c r="M58" s="12">
        <f t="shared" si="8"/>
        <v>-0.13600000000000001</v>
      </c>
      <c r="N58" s="10" t="str">
        <f t="shared" si="9"/>
        <v>UCLA</v>
      </c>
      <c r="O58" s="7">
        <f t="shared" si="10"/>
        <v>51.6</v>
      </c>
      <c r="P58" s="5" t="str">
        <f t="shared" si="11"/>
        <v/>
      </c>
      <c r="Q58" s="5" t="s">
        <v>217</v>
      </c>
      <c r="R58" s="5" t="s">
        <v>123</v>
      </c>
      <c r="S58" s="10" t="b">
        <f t="shared" si="12"/>
        <v>1</v>
      </c>
      <c r="T58" s="5" t="str">
        <f t="shared" si="13"/>
        <v>ΔComposite=0.14; AdjNET Δ=0.9; 3PT Δ=-2.4; TO Δ=-0.3; REB Δ=-2.7</v>
      </c>
      <c r="U58" s="16">
        <f t="array" ref="U58">IF($S58=FALSE(),"",ROUND((0.75*INDEX('Team Ratings'!$G$2:$G$73,MATCH($G58,'Team Ratings'!$A$2:$A$73,0)))+(0.25*INDEX('Team Ratings'!$T$2:$T$73,MATCH($G58,'Team Ratings'!$A$2:$A$73,0))),3))</f>
        <v>27.3</v>
      </c>
      <c r="V58" s="16">
        <f t="array" ref="V58">IF($S58=FALSE(),"",ROUND(INDEX('Team Ratings'!$T$2:$T$73,MATCH($G58,'Team Ratings'!$A$2:$A$73,0))-INDEX('Team Ratings'!$G$2:$G$73,MATCH($G58,'Team Ratings'!$A$2:$A$73,0)),3))</f>
        <v>14.8</v>
      </c>
      <c r="W58" s="16">
        <f t="array" ref="W58">IF($S58=FALSE(),"",ROUND(INDEX('Team Ratings'!$O$2:$O$73,MATCH($G58,'Team Ratings'!$A$2:$A$73,0))-INDEX('Team Ratings'!$P$2:$P$73,MATCH($H58,'Team Ratings'!$A$2:$A$73,0)),3))</f>
        <v>4.2</v>
      </c>
      <c r="X58" s="16">
        <f t="array" ref="X58">IF($S58=FALSE(),"",ROUND(INDEX('Team Ratings'!$K$2:$K$73,MATCH($G58,'Team Ratings'!$A$2:$A$73,0))-INDEX('Team Ratings'!$J$2:$J$73,MATCH($H58,'Team Ratings'!$A$2:$A$73,0)),3))</f>
        <v>2.4</v>
      </c>
      <c r="Y58" s="16">
        <f t="array" ref="Y58">IF($S58=FALSE(),"",ROUND(MAX(0,MIN(10,5+((INDEX('Team Ratings'!$L$2:$L$73,MATCH($G58,'Team Ratings'!$A$2:$A$73,0))-INDEX('Team Ratings'!$M$2:$M$73,MATCH($H58,'Team Ratings'!$A$2:$A$73,0)))+(INDEX('Team Ratings'!$M$2:$M$73,MATCH($G58,'Team Ratings'!$A$2:$A$73,0))-INDEX('Team Ratings'!$L$2:$L$73,MATCH($H58,'Team Ratings'!$A$2:$A$73,0))))/2)),3))</f>
        <v>3.65</v>
      </c>
      <c r="Z58" s="16">
        <f t="array" ref="Z58">IF($S58=FALSE(),"",ROUND((1/I58)*4 + (INDEX('Team Ratings'!$T$2:$T$73,MATCH($G58,'Team Ratings'!$A$2:$A$73,0))/MAX('Team Ratings'!$T$2:$T$73))*4 + (1-(INDEX('Team Ratings'!$J$2:$J$73,MATCH($G58,'Team Ratings'!$A$2:$A$73,0))/MAX('Team Ratings'!$J$2:$J$73)))*2 + (INDEX('Team Ratings'!$N$2:$N$73,MATCH($G58,'Team Ratings'!$A$2:$A$73,0))/MAX('Team Ratings'!$N$2:$N$73)) + (INDEX('Team Ratings'!$M$2:$M$73,MATCH($G58,'Team Ratings'!$A$2:$A$73,0))/MAX('Team Ratings'!$M$2:$M$73)),2))</f>
        <v>6.5</v>
      </c>
      <c r="AA58" s="16">
        <f t="array" ref="AA58">IF($S58=FALSE(),"",IFERROR(INDEX('Team Ratings'!$Q$2:$Q$73,MATCH($G58,'Team Ratings'!$A$2:$A$73,0)),0))</f>
        <v>0</v>
      </c>
      <c r="AB58" s="16">
        <f t="array" ref="AB58">IF($S58=FALSE(),"",ROUND((0.75*INDEX('Team Ratings'!$G$2:$G$73,MATCH($H58,'Team Ratings'!$A$2:$A$73,0)))+(0.25*INDEX('Team Ratings'!$T$2:$T$73,MATCH($H58,'Team Ratings'!$A$2:$A$73,0))),3))</f>
        <v>26.35</v>
      </c>
      <c r="AC58" s="16">
        <f t="array" ref="AC58">IF($S58=FALSE(),"",ROUND(INDEX('Team Ratings'!$T$2:$T$73,MATCH($H58,'Team Ratings'!$A$2:$A$73,0))-INDEX('Team Ratings'!$G$2:$G$73,MATCH($H58,'Team Ratings'!$A$2:$A$73,0)),3))</f>
        <v>14.2</v>
      </c>
      <c r="AD58" s="16">
        <f t="array" ref="AD58">IF($S58=FALSE(),"",ROUND(INDEX('Team Ratings'!$O$2:$O$73,MATCH($H58,'Team Ratings'!$A$2:$A$73,0))-INDEX('Team Ratings'!$P$2:$P$73,MATCH($G58,'Team Ratings'!$A$2:$A$73,0)),3))</f>
        <v>6.6</v>
      </c>
      <c r="AE58" s="16">
        <f t="array" ref="AE58">IF($S58=FALSE(),"",ROUND(INDEX('Team Ratings'!$K$2:$K$73,MATCH($H58,'Team Ratings'!$A$2:$A$73,0))-INDEX('Team Ratings'!$J$2:$J$73,MATCH($G58,'Team Ratings'!$A$2:$A$73,0)),3))</f>
        <v>2.7</v>
      </c>
      <c r="AF58" s="16">
        <f t="array" ref="AF58">IF($S58=FALSE(),"",ROUND(MAX(0,MIN(10,5+((INDEX('Team Ratings'!$L$2:$L$73,MATCH($H58,'Team Ratings'!$A$2:$A$73,0))-INDEX('Team Ratings'!$M$2:$M$73,MATCH($G58,'Team Ratings'!$A$2:$A$73,0)))+(INDEX('Team Ratings'!$M$2:$M$73,MATCH($H58,'Team Ratings'!$A$2:$A$73,0))-INDEX('Team Ratings'!$L$2:$L$73,MATCH($G58,'Team Ratings'!$A$2:$A$73,0))))/2)),3))</f>
        <v>6.35</v>
      </c>
      <c r="AG58" s="16">
        <f t="array" ref="AG58">IF($S58=FALSE(),"",ROUND((1/J58)*4 + (INDEX('Team Ratings'!$T$2:$T$73,MATCH($H58,'Team Ratings'!$A$2:$A$73,0))/MAX('Team Ratings'!$T$2:$T$73))*4 + (1-(INDEX('Team Ratings'!$J$2:$J$73,MATCH($H58,'Team Ratings'!$A$2:$A$73,0))/MAX('Team Ratings'!$J$2:$J$73)))*2 + (INDEX('Team Ratings'!$N$2:$N$73,MATCH($H58,'Team Ratings'!$A$2:$A$73,0))/MAX('Team Ratings'!$N$2:$N$73)) + (INDEX('Team Ratings'!$M$2:$M$73,MATCH($H58,'Team Ratings'!$A$2:$A$73,0))/MAX('Team Ratings'!$M$2:$M$73)),2))</f>
        <v>6.6</v>
      </c>
      <c r="AH58" s="16">
        <f t="array" ref="AH58">IF($S58=FALSE(),"",IFERROR(INDEX('Team Ratings'!$Q$2:$Q$73,MATCH($H58,'Team Ratings'!$A$2:$A$73,0)),0))</f>
        <v>-1</v>
      </c>
      <c r="AI58" s="10" t="b">
        <f t="shared" si="14"/>
        <v>1</v>
      </c>
      <c r="AJ58" s="10"/>
      <c r="AK58" s="10" t="str">
        <f t="shared" si="15"/>
        <v>UCLA</v>
      </c>
      <c r="AL58" s="10">
        <v>9</v>
      </c>
    </row>
    <row r="59" spans="1:38" ht="20" customHeight="1" x14ac:dyDescent="0.2">
      <c r="A59" s="14" t="s">
        <v>213</v>
      </c>
      <c r="B59" s="14" t="s">
        <v>216</v>
      </c>
      <c r="C59" s="5">
        <f>_xlfn.SWITCH(B59,
 "Round 1",1,
 "Round 2",2,
 "Sweet 16",3,
 "Elite 8",4,
 "Final Four",5,
 "Championship",6
)*100
+
COUNTIF($B$2:B59,B59)</f>
        <v>402</v>
      </c>
      <c r="D59" s="5" t="s">
        <v>40</v>
      </c>
      <c r="E59" s="5" t="s">
        <v>205</v>
      </c>
      <c r="F59" s="5" t="s">
        <v>206</v>
      </c>
      <c r="G59" s="5" t="s">
        <v>39</v>
      </c>
      <c r="H59" s="5" t="s">
        <v>41</v>
      </c>
      <c r="I59" s="15">
        <f t="array" ref="I59">IFERROR(INDEX('Team Ratings'!$B$2:$B$73,MATCH($G59,'Team Ratings'!$A$2:$A$73,0)),"")</f>
        <v>1</v>
      </c>
      <c r="J59" s="15">
        <f t="array" ref="J59">IFERROR(INDEX('Team Ratings'!$B$2:$B$73,MATCH($H59,'Team Ratings'!$A$2:$A$73,0)),"")</f>
        <v>2</v>
      </c>
      <c r="K59" s="12">
        <f>IF($S59=FALSE(),"",ROUND((0.35*IFERROR((U59-AVERAGE('Team Metrics'!$X$2:$X$65))/_xlfn.STDEV.P('Team Metrics'!$X$2:$X$65),0)) + (0.2*IFERROR((V59-AVERAGE('Team Metrics'!$W$2:$W$65))/_xlfn.STDEV.P('Team Metrics'!$W$2:$W$65),0)) + (0.15*IFERROR((W59-AVERAGE('Team Metrics'!$Y$2:$Y$65))/_xlfn.STDEV.P('Team Metrics'!$Y$2:$Y$65),0)) + (0.1*IFERROR((X59-AVERAGE('Team Metrics'!$Z$2:$Z$65))/_xlfn.STDEV.P('Team Metrics'!$Z$2:$Z$65),0)) + (0.1*IFERROR((Y59-AVERAGE('Team Metrics'!$AA$2:$AA$65))/_xlfn.STDEV.P('Team Metrics'!$AA$2:$AA$65),0)) + (0.05*IFERROR((Z59-AVERAGE('Team Metrics'!$AB$2:$AB$65))/_xlfn.STDEV.P('Team Metrics'!$AB$2:$AB$65),0)) + (0.05*IFERROR((AA59-AVERAGE('Team Metrics'!$S$2:$S$65))/IF(_xlfn.STDEV.P('Team Metrics'!$S$2:$S$65)=0,1,_xlfn.STDEV.P('Team Metrics'!$S$2:$S$65)),0)),4))</f>
        <v>0.86370000000000002</v>
      </c>
      <c r="L59" s="12">
        <f>IF($S59=FALSE(),"",ROUND((0.35*IFERROR((AB59-AVERAGE('Team Metrics'!$X$2:$X$65))/_xlfn.STDEV.P('Team Metrics'!$X$2:$X$65),0)) + (0.2*IFERROR((AC59-AVERAGE('Team Metrics'!$W$2:$W$65))/_xlfn.STDEV.P('Team Metrics'!$W$2:$W$65),0)) + (0.15*IFERROR((AD59-AVERAGE('Team Metrics'!$Y$2:$Y$65))/_xlfn.STDEV.P('Team Metrics'!$Y$2:$Y$65),0)) + (0.1*IFERROR((AE59-AVERAGE('Team Metrics'!$Z$2:$Z$65))/_xlfn.STDEV.P('Team Metrics'!$Z$2:$Z$65),0)) + (0.1*IFERROR((AF59-AVERAGE('Team Metrics'!$AA$2:$AA$65))/_xlfn.STDEV.P('Team Metrics'!$AA$2:$AA$65),0)) + (0.05*IFERROR((AG59-AVERAGE('Team Metrics'!$AB$2:$AB$65))/_xlfn.STDEV.P('Team Metrics'!$AB$2:$AB$65),0)) + (0.05*IFERROR((AH59-AVERAGE('Team Metrics'!$S$2:$S$65))/IF(_xlfn.STDEV.P('Team Metrics'!$S$2:$S$65)=0,1,_xlfn.STDEV.P('Team Metrics'!$S$2:$S$65)),0)),4))</f>
        <v>0.78239999999999998</v>
      </c>
      <c r="M59" s="12">
        <f t="shared" si="8"/>
        <v>8.1299999999999997E-2</v>
      </c>
      <c r="N59" s="10" t="str">
        <f t="shared" si="9"/>
        <v>Arizona</v>
      </c>
      <c r="O59" s="7">
        <f t="shared" si="10"/>
        <v>51</v>
      </c>
      <c r="P59" s="5" t="str">
        <f t="shared" si="11"/>
        <v/>
      </c>
      <c r="Q59" s="5" t="s">
        <v>217</v>
      </c>
      <c r="R59" s="5" t="s">
        <v>132</v>
      </c>
      <c r="S59" s="10" t="b">
        <f t="shared" si="12"/>
        <v>1</v>
      </c>
      <c r="T59" s="5" t="str">
        <f t="shared" si="13"/>
        <v>ΔComposite=0.08; AdjNET Δ=3; 3PT Δ=-4.7; TO Δ=2.7; REB Δ=2.3</v>
      </c>
      <c r="U59" s="16">
        <f t="array" ref="U59">IF($S59=FALSE(),"",ROUND((0.75*INDEX('Team Ratings'!$G$2:$G$73,MATCH($G59,'Team Ratings'!$A$2:$A$73,0)))+(0.25*INDEX('Team Ratings'!$T$2:$T$73,MATCH($G59,'Team Ratings'!$A$2:$A$73,0))),3))</f>
        <v>36.524999999999999</v>
      </c>
      <c r="V59" s="16">
        <f t="array" ref="V59">IF($S59=FALSE(),"",ROUND(INDEX('Team Ratings'!$T$2:$T$73,MATCH($G59,'Team Ratings'!$A$2:$A$73,0))-INDEX('Team Ratings'!$G$2:$G$73,MATCH($G59,'Team Ratings'!$A$2:$A$73,0)),3))</f>
        <v>4.0999999999999996</v>
      </c>
      <c r="W59" s="16">
        <f t="array" ref="W59">IF($S59=FALSE(),"",ROUND(INDEX('Team Ratings'!$O$2:$O$73,MATCH($G59,'Team Ratings'!$A$2:$A$73,0))-INDEX('Team Ratings'!$P$2:$P$73,MATCH($H59,'Team Ratings'!$A$2:$A$73,0)),3))</f>
        <v>1.8</v>
      </c>
      <c r="X59" s="16">
        <f t="array" ref="X59">IF($S59=FALSE(),"",ROUND(INDEX('Team Ratings'!$K$2:$K$73,MATCH($G59,'Team Ratings'!$A$2:$A$73,0))-INDEX('Team Ratings'!$J$2:$J$73,MATCH($H59,'Team Ratings'!$A$2:$A$73,0)),3))</f>
        <v>3.2</v>
      </c>
      <c r="Y59" s="16">
        <f t="array" ref="Y59">IF($S59=FALSE(),"",ROUND(MAX(0,MIN(10,5+((INDEX('Team Ratings'!$L$2:$L$73,MATCH($G59,'Team Ratings'!$A$2:$A$73,0))-INDEX('Team Ratings'!$M$2:$M$73,MATCH($H59,'Team Ratings'!$A$2:$A$73,0)))+(INDEX('Team Ratings'!$M$2:$M$73,MATCH($G59,'Team Ratings'!$A$2:$A$73,0))-INDEX('Team Ratings'!$L$2:$L$73,MATCH($H59,'Team Ratings'!$A$2:$A$73,0))))/2)),3))</f>
        <v>6.15</v>
      </c>
      <c r="Z59" s="16">
        <f t="array" ref="Z59">IF($S59=FALSE(),"",ROUND((1/I59)*4 + (INDEX('Team Ratings'!$T$2:$T$73,MATCH($G59,'Team Ratings'!$A$2:$A$73,0))/MAX('Team Ratings'!$T$2:$T$73))*4 + (1-(INDEX('Team Ratings'!$J$2:$J$73,MATCH($G59,'Team Ratings'!$A$2:$A$73,0))/MAX('Team Ratings'!$J$2:$J$73)))*2 + (INDEX('Team Ratings'!$N$2:$N$73,MATCH($G59,'Team Ratings'!$A$2:$A$73,0))/MAX('Team Ratings'!$N$2:$N$73)) + (INDEX('Team Ratings'!$M$2:$M$73,MATCH($G59,'Team Ratings'!$A$2:$A$73,0))/MAX('Team Ratings'!$M$2:$M$73)),2))</f>
        <v>10.17</v>
      </c>
      <c r="AA59" s="16">
        <f t="array" ref="AA59">IF($S59=FALSE(),"",IFERROR(INDEX('Team Ratings'!$Q$2:$Q$73,MATCH($G59,'Team Ratings'!$A$2:$A$73,0)),0))</f>
        <v>0</v>
      </c>
      <c r="AB59" s="16">
        <f t="array" ref="AB59">IF($S59=FALSE(),"",ROUND((0.75*INDEX('Team Ratings'!$G$2:$G$73,MATCH($H59,'Team Ratings'!$A$2:$A$73,0)))+(0.25*INDEX('Team Ratings'!$T$2:$T$73,MATCH($H59,'Team Ratings'!$A$2:$A$73,0))),3))</f>
        <v>33.549999999999997</v>
      </c>
      <c r="AC59" s="16">
        <f t="array" ref="AC59">IF($S59=FALSE(),"",ROUND(INDEX('Team Ratings'!$T$2:$T$73,MATCH($H59,'Team Ratings'!$A$2:$A$73,0))-INDEX('Team Ratings'!$G$2:$G$73,MATCH($H59,'Team Ratings'!$A$2:$A$73,0)),3))</f>
        <v>2.2000000000000002</v>
      </c>
      <c r="AD59" s="16">
        <f t="array" ref="AD59">IF($S59=FALSE(),"",ROUND(INDEX('Team Ratings'!$O$2:$O$73,MATCH($H59,'Team Ratings'!$A$2:$A$73,0))-INDEX('Team Ratings'!$P$2:$P$73,MATCH($G59,'Team Ratings'!$A$2:$A$73,0)),3))</f>
        <v>6.5</v>
      </c>
      <c r="AE59" s="16">
        <f t="array" ref="AE59">IF($S59=FALSE(),"",ROUND(INDEX('Team Ratings'!$K$2:$K$73,MATCH($H59,'Team Ratings'!$A$2:$A$73,0))-INDEX('Team Ratings'!$J$2:$J$73,MATCH($G59,'Team Ratings'!$A$2:$A$73,0)),3))</f>
        <v>0.5</v>
      </c>
      <c r="AF59" s="16">
        <f t="array" ref="AF59">IF($S59=FALSE(),"",ROUND(MAX(0,MIN(10,5+((INDEX('Team Ratings'!$L$2:$L$73,MATCH($H59,'Team Ratings'!$A$2:$A$73,0))-INDEX('Team Ratings'!$M$2:$M$73,MATCH($G59,'Team Ratings'!$A$2:$A$73,0)))+(INDEX('Team Ratings'!$M$2:$M$73,MATCH($H59,'Team Ratings'!$A$2:$A$73,0))-INDEX('Team Ratings'!$L$2:$L$73,MATCH($G59,'Team Ratings'!$A$2:$A$73,0))))/2)),3))</f>
        <v>3.85</v>
      </c>
      <c r="AG59" s="16">
        <f t="array" ref="AG59">IF($S59=FALSE(),"",ROUND((1/J59)*4 + (INDEX('Team Ratings'!$T$2:$T$73,MATCH($H59,'Team Ratings'!$A$2:$A$73,0))/MAX('Team Ratings'!$T$2:$T$73))*4 + (1-(INDEX('Team Ratings'!$J$2:$J$73,MATCH($H59,'Team Ratings'!$A$2:$A$73,0))/MAX('Team Ratings'!$J$2:$J$73)))*2 + (INDEX('Team Ratings'!$N$2:$N$73,MATCH($H59,'Team Ratings'!$A$2:$A$73,0))/MAX('Team Ratings'!$N$2:$N$73)) + (INDEX('Team Ratings'!$M$2:$M$73,MATCH($H59,'Team Ratings'!$A$2:$A$73,0))/MAX('Team Ratings'!$M$2:$M$73)),2))</f>
        <v>7.57</v>
      </c>
      <c r="AH59" s="16">
        <f t="array" ref="AH59">IF($S59=FALSE(),"",IFERROR(INDEX('Team Ratings'!$Q$2:$Q$73,MATCH($H59,'Team Ratings'!$A$2:$A$73,0)),0))</f>
        <v>0</v>
      </c>
      <c r="AI59" s="10" t="b">
        <f t="shared" si="14"/>
        <v>1</v>
      </c>
      <c r="AJ59" s="10"/>
      <c r="AK59" s="10" t="str">
        <f t="shared" si="15"/>
        <v>Arizona</v>
      </c>
      <c r="AL59" s="10">
        <v>9</v>
      </c>
    </row>
    <row r="60" spans="1:38" ht="20" customHeight="1" x14ac:dyDescent="0.2">
      <c r="A60" s="14" t="s">
        <v>214</v>
      </c>
      <c r="B60" s="14" t="s">
        <v>216</v>
      </c>
      <c r="C60" s="5">
        <f>_xlfn.SWITCH(B60,
 "Round 1",1,
 "Round 2",2,
 "Sweet 16",3,
 "Elite 8",4,
 "Final Four",5,
 "Championship",6
)*100
+
COUNTIF($B$2:B60,B60)</f>
        <v>403</v>
      </c>
      <c r="D60" s="5" t="s">
        <v>60</v>
      </c>
      <c r="E60" s="5" t="s">
        <v>207</v>
      </c>
      <c r="F60" s="5" t="s">
        <v>208</v>
      </c>
      <c r="G60" s="5" t="s">
        <v>64</v>
      </c>
      <c r="H60" s="5" t="s">
        <v>61</v>
      </c>
      <c r="I60" s="15">
        <f t="array" ref="I60">IFERROR(INDEX('Team Ratings'!$B$2:$B$73,MATCH($G60,'Team Ratings'!$A$2:$A$73,0)),"")</f>
        <v>5</v>
      </c>
      <c r="J60" s="15">
        <f t="array" ref="J60">IFERROR(INDEX('Team Ratings'!$B$2:$B$73,MATCH($H60,'Team Ratings'!$A$2:$A$73,0)),"")</f>
        <v>2</v>
      </c>
      <c r="K60" s="12">
        <f>IF($S60=FALSE(),"",ROUND((0.35*IFERROR((U60-AVERAGE('Team Metrics'!$X$2:$X$65))/_xlfn.STDEV.P('Team Metrics'!$X$2:$X$65),0)) + (0.2*IFERROR((V60-AVERAGE('Team Metrics'!$W$2:$W$65))/_xlfn.STDEV.P('Team Metrics'!$W$2:$W$65),0)) + (0.15*IFERROR((W60-AVERAGE('Team Metrics'!$Y$2:$Y$65))/_xlfn.STDEV.P('Team Metrics'!$Y$2:$Y$65),0)) + (0.1*IFERROR((X60-AVERAGE('Team Metrics'!$Z$2:$Z$65))/_xlfn.STDEV.P('Team Metrics'!$Z$2:$Z$65),0)) + (0.1*IFERROR((Y60-AVERAGE('Team Metrics'!$AA$2:$AA$65))/_xlfn.STDEV.P('Team Metrics'!$AA$2:$AA$65),0)) + (0.05*IFERROR((Z60-AVERAGE('Team Metrics'!$AB$2:$AB$65))/_xlfn.STDEV.P('Team Metrics'!$AB$2:$AB$65),0)) + (0.05*IFERROR((AA60-AVERAGE('Team Metrics'!$S$2:$S$65))/IF(_xlfn.STDEV.P('Team Metrics'!$S$2:$S$65)=0,1,_xlfn.STDEV.P('Team Metrics'!$S$2:$S$65)),0)),4))</f>
        <v>0.70930000000000004</v>
      </c>
      <c r="L60" s="12">
        <f>IF($S60=FALSE(),"",ROUND((0.35*IFERROR((AB60-AVERAGE('Team Metrics'!$X$2:$X$65))/_xlfn.STDEV.P('Team Metrics'!$X$2:$X$65),0)) + (0.2*IFERROR((AC60-AVERAGE('Team Metrics'!$W$2:$W$65))/_xlfn.STDEV.P('Team Metrics'!$W$2:$W$65),0)) + (0.15*IFERROR((AD60-AVERAGE('Team Metrics'!$Y$2:$Y$65))/_xlfn.STDEV.P('Team Metrics'!$Y$2:$Y$65),0)) + (0.1*IFERROR((AE60-AVERAGE('Team Metrics'!$Z$2:$Z$65))/_xlfn.STDEV.P('Team Metrics'!$Z$2:$Z$65),0)) + (0.1*IFERROR((AF60-AVERAGE('Team Metrics'!$AA$2:$AA$65))/_xlfn.STDEV.P('Team Metrics'!$AA$2:$AA$65),0)) + (0.05*IFERROR((AG60-AVERAGE('Team Metrics'!$AB$2:$AB$65))/_xlfn.STDEV.P('Team Metrics'!$AB$2:$AB$65),0)) + (0.05*IFERROR((AH60-AVERAGE('Team Metrics'!$S$2:$S$65))/IF(_xlfn.STDEV.P('Team Metrics'!$S$2:$S$65)=0,1,_xlfn.STDEV.P('Team Metrics'!$S$2:$S$65)),0)),4))</f>
        <v>0.61470000000000002</v>
      </c>
      <c r="M60" s="12">
        <f t="shared" si="8"/>
        <v>9.4600000000000004E-2</v>
      </c>
      <c r="N60" s="10" t="str">
        <f t="shared" si="9"/>
        <v>Vanderbilt</v>
      </c>
      <c r="O60" s="7">
        <f t="shared" si="10"/>
        <v>51.1</v>
      </c>
      <c r="P60" s="5" t="str">
        <f t="shared" si="11"/>
        <v>UPSET</v>
      </c>
      <c r="Q60" s="5" t="s">
        <v>218</v>
      </c>
      <c r="R60" s="5" t="s">
        <v>123</v>
      </c>
      <c r="S60" s="10" t="b">
        <f t="shared" si="12"/>
        <v>1</v>
      </c>
      <c r="T60" s="5" t="str">
        <f t="shared" si="13"/>
        <v>ΔComposite=0.09; AdjNET Δ=-1.9; 3PT Δ=0.7; TO Δ=-2.8; REB Δ=-4</v>
      </c>
      <c r="U60" s="16">
        <f t="array" ref="U60">IF($S60=FALSE(),"",ROUND((0.75*INDEX('Team Ratings'!$G$2:$G$73,MATCH($G60,'Team Ratings'!$A$2:$A$73,0)))+(0.25*INDEX('Team Ratings'!$T$2:$T$73,MATCH($G60,'Team Ratings'!$A$2:$A$73,0))),3))</f>
        <v>30.074999999999999</v>
      </c>
      <c r="V60" s="16">
        <f t="array" ref="V60">IF($S60=FALSE(),"",ROUND(INDEX('Team Ratings'!$T$2:$T$73,MATCH($G60,'Team Ratings'!$A$2:$A$73,0))-INDEX('Team Ratings'!$G$2:$G$73,MATCH($G60,'Team Ratings'!$A$2:$A$73,0)),3))</f>
        <v>7.9</v>
      </c>
      <c r="W60" s="16">
        <f t="array" ref="W60">IF($S60=FALSE(),"",ROUND(INDEX('Team Ratings'!$O$2:$O$73,MATCH($G60,'Team Ratings'!$A$2:$A$73,0))-INDEX('Team Ratings'!$P$2:$P$73,MATCH($H60,'Team Ratings'!$A$2:$A$73,0)),3))</f>
        <v>3.4</v>
      </c>
      <c r="X60" s="16">
        <f t="array" ref="X60">IF($S60=FALSE(),"",ROUND(INDEX('Team Ratings'!$K$2:$K$73,MATCH($G60,'Team Ratings'!$A$2:$A$73,0))-INDEX('Team Ratings'!$J$2:$J$73,MATCH($H60,'Team Ratings'!$A$2:$A$73,0)),3))</f>
        <v>4.9000000000000004</v>
      </c>
      <c r="Y60" s="16">
        <f t="array" ref="Y60">IF($S60=FALSE(),"",ROUND(MAX(0,MIN(10,5+((INDEX('Team Ratings'!$L$2:$L$73,MATCH($G60,'Team Ratings'!$A$2:$A$73,0))-INDEX('Team Ratings'!$M$2:$M$73,MATCH($H60,'Team Ratings'!$A$2:$A$73,0)))+(INDEX('Team Ratings'!$M$2:$M$73,MATCH($G60,'Team Ratings'!$A$2:$A$73,0))-INDEX('Team Ratings'!$L$2:$L$73,MATCH($H60,'Team Ratings'!$A$2:$A$73,0))))/2)),3))</f>
        <v>3</v>
      </c>
      <c r="Z60" s="16">
        <f t="array" ref="Z60">IF($S60=FALSE(),"",ROUND((1/I60)*4 + (INDEX('Team Ratings'!$T$2:$T$73,MATCH($G60,'Team Ratings'!$A$2:$A$73,0))/MAX('Team Ratings'!$T$2:$T$73))*4 + (1-(INDEX('Team Ratings'!$J$2:$J$73,MATCH($G60,'Team Ratings'!$A$2:$A$73,0))/MAX('Team Ratings'!$J$2:$J$73)))*2 + (INDEX('Team Ratings'!$N$2:$N$73,MATCH($G60,'Team Ratings'!$A$2:$A$73,0))/MAX('Team Ratings'!$N$2:$N$73)) + (INDEX('Team Ratings'!$M$2:$M$73,MATCH($G60,'Team Ratings'!$A$2:$A$73,0))/MAX('Team Ratings'!$M$2:$M$73)),2))</f>
        <v>6.82</v>
      </c>
      <c r="AA60" s="16">
        <f t="array" ref="AA60">IF($S60=FALSE(),"",IFERROR(INDEX('Team Ratings'!$Q$2:$Q$73,MATCH($G60,'Team Ratings'!$A$2:$A$73,0)),0))</f>
        <v>0</v>
      </c>
      <c r="AB60" s="16">
        <f t="array" ref="AB60">IF($S60=FALSE(),"",ROUND((0.75*INDEX('Team Ratings'!$G$2:$G$73,MATCH($H60,'Team Ratings'!$A$2:$A$73,0)))+(0.25*INDEX('Team Ratings'!$T$2:$T$73,MATCH($H60,'Team Ratings'!$A$2:$A$73,0))),3))</f>
        <v>31.975000000000001</v>
      </c>
      <c r="AC60" s="16">
        <f t="array" ref="AC60">IF($S60=FALSE(),"",ROUND(INDEX('Team Ratings'!$T$2:$T$73,MATCH($H60,'Team Ratings'!$A$2:$A$73,0))-INDEX('Team Ratings'!$G$2:$G$73,MATCH($H60,'Team Ratings'!$A$2:$A$73,0)),3))</f>
        <v>-3.7</v>
      </c>
      <c r="AD60" s="16">
        <f t="array" ref="AD60">IF($S60=FALSE(),"",ROUND(INDEX('Team Ratings'!$O$2:$O$73,MATCH($H60,'Team Ratings'!$A$2:$A$73,0))-INDEX('Team Ratings'!$P$2:$P$73,MATCH($G60,'Team Ratings'!$A$2:$A$73,0)),3))</f>
        <v>2.7</v>
      </c>
      <c r="AE60" s="16">
        <f t="array" ref="AE60">IF($S60=FALSE(),"",ROUND(INDEX('Team Ratings'!$K$2:$K$73,MATCH($H60,'Team Ratings'!$A$2:$A$73,0))-INDEX('Team Ratings'!$J$2:$J$73,MATCH($G60,'Team Ratings'!$A$2:$A$73,0)),3))</f>
        <v>7.7</v>
      </c>
      <c r="AF60" s="16">
        <f t="array" ref="AF60">IF($S60=FALSE(),"",ROUND(MAX(0,MIN(10,5+((INDEX('Team Ratings'!$L$2:$L$73,MATCH($H60,'Team Ratings'!$A$2:$A$73,0))-INDEX('Team Ratings'!$M$2:$M$73,MATCH($G60,'Team Ratings'!$A$2:$A$73,0)))+(INDEX('Team Ratings'!$M$2:$M$73,MATCH($H60,'Team Ratings'!$A$2:$A$73,0))-INDEX('Team Ratings'!$L$2:$L$73,MATCH($G60,'Team Ratings'!$A$2:$A$73,0))))/2)),3))</f>
        <v>7</v>
      </c>
      <c r="AG60" s="16">
        <f t="array" ref="AG60">IF($S60=FALSE(),"",ROUND((1/J60)*4 + (INDEX('Team Ratings'!$T$2:$T$73,MATCH($H60,'Team Ratings'!$A$2:$A$73,0))/MAX('Team Ratings'!$T$2:$T$73))*4 + (1-(INDEX('Team Ratings'!$J$2:$J$73,MATCH($H60,'Team Ratings'!$A$2:$A$73,0))/MAX('Team Ratings'!$J$2:$J$73)))*2 + (INDEX('Team Ratings'!$N$2:$N$73,MATCH($H60,'Team Ratings'!$A$2:$A$73,0))/MAX('Team Ratings'!$N$2:$N$73)) + (INDEX('Team Ratings'!$M$2:$M$73,MATCH($H60,'Team Ratings'!$A$2:$A$73,0))/MAX('Team Ratings'!$M$2:$M$73)),2))</f>
        <v>7.1</v>
      </c>
      <c r="AH60" s="16">
        <f t="array" ref="AH60">IF($S60=FALSE(),"",IFERROR(INDEX('Team Ratings'!$Q$2:$Q$73,MATCH($H60,'Team Ratings'!$A$2:$A$73,0)),0))</f>
        <v>-1</v>
      </c>
      <c r="AI60" s="10" t="b">
        <f t="shared" si="14"/>
        <v>1</v>
      </c>
      <c r="AJ60" s="10"/>
      <c r="AK60" s="10" t="str">
        <f t="shared" si="15"/>
        <v>Vanderbilt</v>
      </c>
      <c r="AL60" s="10">
        <v>9</v>
      </c>
    </row>
    <row r="61" spans="1:38" ht="20" customHeight="1" x14ac:dyDescent="0.2">
      <c r="A61" s="14" t="s">
        <v>215</v>
      </c>
      <c r="B61" s="14" t="s">
        <v>216</v>
      </c>
      <c r="C61" s="5">
        <f>_xlfn.SWITCH(B61,
 "Round 1",1,
 "Round 2",2,
 "Sweet 16",3,
 "Elite 8",4,
 "Final Four",5,
 "Championship",6
)*100
+
COUNTIF($B$2:B61,B61)</f>
        <v>404</v>
      </c>
      <c r="D61" s="5" t="s">
        <v>79</v>
      </c>
      <c r="E61" s="5" t="s">
        <v>209</v>
      </c>
      <c r="F61" s="5" t="s">
        <v>210</v>
      </c>
      <c r="G61" s="5" t="s">
        <v>86</v>
      </c>
      <c r="H61" s="5" t="s">
        <v>80</v>
      </c>
      <c r="I61" s="15">
        <f t="array" ref="I61">IFERROR(INDEX('Team Ratings'!$B$2:$B$73,MATCH($G61,'Team Ratings'!$A$2:$A$73,0)),"")</f>
        <v>8</v>
      </c>
      <c r="J61" s="15">
        <f t="array" ref="J61">IFERROR(INDEX('Team Ratings'!$B$2:$B$73,MATCH($H61,'Team Ratings'!$A$2:$A$73,0)),"")</f>
        <v>2</v>
      </c>
      <c r="K61" s="12">
        <f>IF($S61=FALSE(),"",ROUND((0.35*IFERROR((U61-AVERAGE('Team Metrics'!$X$2:$X$65))/_xlfn.STDEV.P('Team Metrics'!$X$2:$X$65),0)) + (0.2*IFERROR((V61-AVERAGE('Team Metrics'!$W$2:$W$65))/_xlfn.STDEV.P('Team Metrics'!$W$2:$W$65),0)) + (0.15*IFERROR((W61-AVERAGE('Team Metrics'!$Y$2:$Y$65))/_xlfn.STDEV.P('Team Metrics'!$Y$2:$Y$65),0)) + (0.1*IFERROR((X61-AVERAGE('Team Metrics'!$Z$2:$Z$65))/_xlfn.STDEV.P('Team Metrics'!$Z$2:$Z$65),0)) + (0.1*IFERROR((Y61-AVERAGE('Team Metrics'!$AA$2:$AA$65))/_xlfn.STDEV.P('Team Metrics'!$AA$2:$AA$65),0)) + (0.05*IFERROR((Z61-AVERAGE('Team Metrics'!$AB$2:$AB$65))/_xlfn.STDEV.P('Team Metrics'!$AB$2:$AB$65),0)) + (0.05*IFERROR((AA61-AVERAGE('Team Metrics'!$S$2:$S$65))/IF(_xlfn.STDEV.P('Team Metrics'!$S$2:$S$65)=0,1,_xlfn.STDEV.P('Team Metrics'!$S$2:$S$65)),0)),4))</f>
        <v>9.9199999999999997E-2</v>
      </c>
      <c r="L61" s="12">
        <f>IF($S61=FALSE(),"",ROUND((0.35*IFERROR((AB61-AVERAGE('Team Metrics'!$X$2:$X$65))/_xlfn.STDEV.P('Team Metrics'!$X$2:$X$65),0)) + (0.2*IFERROR((AC61-AVERAGE('Team Metrics'!$W$2:$W$65))/_xlfn.STDEV.P('Team Metrics'!$W$2:$W$65),0)) + (0.15*IFERROR((AD61-AVERAGE('Team Metrics'!$Y$2:$Y$65))/_xlfn.STDEV.P('Team Metrics'!$Y$2:$Y$65),0)) + (0.1*IFERROR((AE61-AVERAGE('Team Metrics'!$Z$2:$Z$65))/_xlfn.STDEV.P('Team Metrics'!$Z$2:$Z$65),0)) + (0.1*IFERROR((AF61-AVERAGE('Team Metrics'!$AA$2:$AA$65))/_xlfn.STDEV.P('Team Metrics'!$AA$2:$AA$65),0)) + (0.05*IFERROR((AG61-AVERAGE('Team Metrics'!$AB$2:$AB$65))/_xlfn.STDEV.P('Team Metrics'!$AB$2:$AB$65),0)) + (0.05*IFERROR((AH61-AVERAGE('Team Metrics'!$S$2:$S$65))/IF(_xlfn.STDEV.P('Team Metrics'!$S$2:$S$65)=0,1,_xlfn.STDEV.P('Team Metrics'!$S$2:$S$65)),0)),4))</f>
        <v>1.006</v>
      </c>
      <c r="M61" s="12">
        <f t="shared" si="8"/>
        <v>-0.90680000000000005</v>
      </c>
      <c r="N61" s="10" t="str">
        <f t="shared" si="9"/>
        <v>Iowa St.</v>
      </c>
      <c r="O61" s="7">
        <f t="shared" si="10"/>
        <v>60.9</v>
      </c>
      <c r="P61" s="5" t="str">
        <f t="shared" si="11"/>
        <v/>
      </c>
      <c r="Q61" s="5" t="s">
        <v>218</v>
      </c>
      <c r="R61" s="5" t="s">
        <v>132</v>
      </c>
      <c r="S61" s="10" t="b">
        <f t="shared" si="12"/>
        <v>1</v>
      </c>
      <c r="T61" s="5" t="str">
        <f t="shared" si="13"/>
        <v>ΔComposite=0.91; AdjNET Δ=-14.3; 3PT Δ=-3; TO Δ=-4.8; REB Δ=6.7</v>
      </c>
      <c r="U61" s="16">
        <f t="array" ref="U61">IF($S61=FALSE(),"",ROUND((0.75*INDEX('Team Ratings'!$G$2:$G$73,MATCH($G61,'Team Ratings'!$A$2:$A$73,0)))+(0.25*INDEX('Team Ratings'!$T$2:$T$73,MATCH($G61,'Team Ratings'!$A$2:$A$73,0))),3))</f>
        <v>18.975000000000001</v>
      </c>
      <c r="V61" s="16">
        <f t="array" ref="V61">IF($S61=FALSE(),"",ROUND(INDEX('Team Ratings'!$T$2:$T$73,MATCH($G61,'Team Ratings'!$A$2:$A$73,0))-INDEX('Team Ratings'!$G$2:$G$73,MATCH($G61,'Team Ratings'!$A$2:$A$73,0)),3))</f>
        <v>-2.5</v>
      </c>
      <c r="W61" s="16">
        <f t="array" ref="W61">IF($S61=FALSE(),"",ROUND(INDEX('Team Ratings'!$O$2:$O$73,MATCH($G61,'Team Ratings'!$A$2:$A$73,0))-INDEX('Team Ratings'!$P$2:$P$73,MATCH($H61,'Team Ratings'!$A$2:$A$73,0)),3))</f>
        <v>2</v>
      </c>
      <c r="X61" s="16">
        <f t="array" ref="X61">IF($S61=FALSE(),"",ROUND(INDEX('Team Ratings'!$K$2:$K$73,MATCH($G61,'Team Ratings'!$A$2:$A$73,0))-INDEX('Team Ratings'!$J$2:$J$73,MATCH($H61,'Team Ratings'!$A$2:$A$73,0)),3))</f>
        <v>3.3</v>
      </c>
      <c r="Y61" s="16">
        <f t="array" ref="Y61">IF($S61=FALSE(),"",ROUND(MAX(0,MIN(10,5+((INDEX('Team Ratings'!$L$2:$L$73,MATCH($G61,'Team Ratings'!$A$2:$A$73,0))-INDEX('Team Ratings'!$M$2:$M$73,MATCH($H61,'Team Ratings'!$A$2:$A$73,0)))+(INDEX('Team Ratings'!$M$2:$M$73,MATCH($G61,'Team Ratings'!$A$2:$A$73,0))-INDEX('Team Ratings'!$L$2:$L$73,MATCH($H61,'Team Ratings'!$A$2:$A$73,0))))/2)),3))</f>
        <v>8.35</v>
      </c>
      <c r="Z61" s="16">
        <f t="array" ref="Z61">IF($S61=FALSE(),"",ROUND((1/I61)*4 + (INDEX('Team Ratings'!$T$2:$T$73,MATCH($G61,'Team Ratings'!$A$2:$A$73,0))/MAX('Team Ratings'!$T$2:$T$73))*4 + (1-(INDEX('Team Ratings'!$J$2:$J$73,MATCH($G61,'Team Ratings'!$A$2:$A$73,0))/MAX('Team Ratings'!$J$2:$J$73)))*2 + (INDEX('Team Ratings'!$N$2:$N$73,MATCH($G61,'Team Ratings'!$A$2:$A$73,0))/MAX('Team Ratings'!$N$2:$N$73)) + (INDEX('Team Ratings'!$M$2:$M$73,MATCH($G61,'Team Ratings'!$A$2:$A$73,0))/MAX('Team Ratings'!$M$2:$M$73)),2))</f>
        <v>4.58</v>
      </c>
      <c r="AA61" s="16">
        <f t="array" ref="AA61">IF($S61=FALSE(),"",IFERROR(INDEX('Team Ratings'!$Q$2:$Q$73,MATCH($G61,'Team Ratings'!$A$2:$A$73,0)),0))</f>
        <v>0</v>
      </c>
      <c r="AB61" s="16">
        <f t="array" ref="AB61">IF($S61=FALSE(),"",ROUND((0.75*INDEX('Team Ratings'!$G$2:$G$73,MATCH($H61,'Team Ratings'!$A$2:$A$73,0)))+(0.25*INDEX('Team Ratings'!$T$2:$T$73,MATCH($H61,'Team Ratings'!$A$2:$A$73,0))),3))</f>
        <v>33.225000000000001</v>
      </c>
      <c r="AC61" s="16">
        <f t="array" ref="AC61">IF($S61=FALSE(),"",ROUND(INDEX('Team Ratings'!$T$2:$T$73,MATCH($H61,'Team Ratings'!$A$2:$A$73,0))-INDEX('Team Ratings'!$G$2:$G$73,MATCH($H61,'Team Ratings'!$A$2:$A$73,0)),3))</f>
        <v>8.1</v>
      </c>
      <c r="AD61" s="16">
        <f t="array" ref="AD61">IF($S61=FALSE(),"",ROUND(INDEX('Team Ratings'!$O$2:$O$73,MATCH($H61,'Team Ratings'!$A$2:$A$73,0))-INDEX('Team Ratings'!$P$2:$P$73,MATCH($G61,'Team Ratings'!$A$2:$A$73,0)),3))</f>
        <v>5</v>
      </c>
      <c r="AE61" s="16">
        <f t="array" ref="AE61">IF($S61=FALSE(),"",ROUND(INDEX('Team Ratings'!$K$2:$K$73,MATCH($H61,'Team Ratings'!$A$2:$A$73,0))-INDEX('Team Ratings'!$J$2:$J$73,MATCH($G61,'Team Ratings'!$A$2:$A$73,0)),3))</f>
        <v>8.1</v>
      </c>
      <c r="AF61" s="16">
        <f t="array" ref="AF61">IF($S61=FALSE(),"",ROUND(MAX(0,MIN(10,5+((INDEX('Team Ratings'!$L$2:$L$73,MATCH($H61,'Team Ratings'!$A$2:$A$73,0))-INDEX('Team Ratings'!$M$2:$M$73,MATCH($G61,'Team Ratings'!$A$2:$A$73,0)))+(INDEX('Team Ratings'!$M$2:$M$73,MATCH($H61,'Team Ratings'!$A$2:$A$73,0))-INDEX('Team Ratings'!$L$2:$L$73,MATCH($G61,'Team Ratings'!$A$2:$A$73,0))))/2)),3))</f>
        <v>1.65</v>
      </c>
      <c r="AG61" s="16">
        <f t="array" ref="AG61">IF($S61=FALSE(),"",ROUND((1/J61)*4 + (INDEX('Team Ratings'!$T$2:$T$73,MATCH($H61,'Team Ratings'!$A$2:$A$73,0))/MAX('Team Ratings'!$T$2:$T$73))*4 + (1-(INDEX('Team Ratings'!$J$2:$J$73,MATCH($H61,'Team Ratings'!$A$2:$A$73,0))/MAX('Team Ratings'!$J$2:$J$73)))*2 + (INDEX('Team Ratings'!$N$2:$N$73,MATCH($H61,'Team Ratings'!$A$2:$A$73,0))/MAX('Team Ratings'!$N$2:$N$73)) + (INDEX('Team Ratings'!$M$2:$M$73,MATCH($H61,'Team Ratings'!$A$2:$A$73,0))/MAX('Team Ratings'!$M$2:$M$73)),2))</f>
        <v>7.98</v>
      </c>
      <c r="AH61" s="16">
        <f t="array" ref="AH61">IF($S61=FALSE(),"",IFERROR(INDEX('Team Ratings'!$Q$2:$Q$73,MATCH($H61,'Team Ratings'!$A$2:$A$73,0)),0))</f>
        <v>0</v>
      </c>
      <c r="AI61" s="10" t="b">
        <f t="shared" si="14"/>
        <v>1</v>
      </c>
      <c r="AJ61" s="10"/>
      <c r="AK61" s="10" t="str">
        <f t="shared" si="15"/>
        <v>Iowa St.</v>
      </c>
      <c r="AL61" s="10">
        <v>9</v>
      </c>
    </row>
    <row r="62" spans="1:38" ht="20" customHeight="1" x14ac:dyDescent="0.2">
      <c r="A62" s="14" t="s">
        <v>217</v>
      </c>
      <c r="B62" s="14" t="s">
        <v>219</v>
      </c>
      <c r="C62" s="5">
        <f>_xlfn.SWITCH(B62,
 "Round 1",1,
 "Round 2",2,
 "Sweet 16",3,
 "Elite 8",4,
 "Final Four",5,
 "Championship",6
)*100
+
COUNTIF($B$2:B62,B62)</f>
        <v>501</v>
      </c>
      <c r="D62" s="5" t="s">
        <v>220</v>
      </c>
      <c r="E62" s="5" t="s">
        <v>212</v>
      </c>
      <c r="F62" s="5" t="s">
        <v>214</v>
      </c>
      <c r="G62" s="5" t="s">
        <v>29</v>
      </c>
      <c r="H62" s="5" t="s">
        <v>64</v>
      </c>
      <c r="I62" s="15">
        <f t="array" ref="I62">IFERROR(INDEX('Team Ratings'!$B$2:$B$73,MATCH($G62,'Team Ratings'!$A$2:$A$73,0)),"")</f>
        <v>7</v>
      </c>
      <c r="J62" s="15">
        <f t="array" ref="J62">IFERROR(INDEX('Team Ratings'!$B$2:$B$73,MATCH($H62,'Team Ratings'!$A$2:$A$73,0)),"")</f>
        <v>5</v>
      </c>
      <c r="K62" s="12">
        <f>IF($S62=FALSE(),"",ROUND((0.35*IFERROR((U62-AVERAGE('Team Metrics'!$X$2:$X$65))/_xlfn.STDEV.P('Team Metrics'!$X$2:$X$65),0)) + (0.2*IFERROR((V62-AVERAGE('Team Metrics'!$W$2:$W$65))/_xlfn.STDEV.P('Team Metrics'!$W$2:$W$65),0)) + (0.15*IFERROR((W62-AVERAGE('Team Metrics'!$Y$2:$Y$65))/_xlfn.STDEV.P('Team Metrics'!$Y$2:$Y$65),0)) + (0.1*IFERROR((X62-AVERAGE('Team Metrics'!$Z$2:$Z$65))/_xlfn.STDEV.P('Team Metrics'!$Z$2:$Z$65),0)) + (0.1*IFERROR((Y62-AVERAGE('Team Metrics'!$AA$2:$AA$65))/_xlfn.STDEV.P('Team Metrics'!$AA$2:$AA$65),0)) + (0.05*IFERROR((Z62-AVERAGE('Team Metrics'!$AB$2:$AB$65))/_xlfn.STDEV.P('Team Metrics'!$AB$2:$AB$65),0)) + (0.05*IFERROR((AA62-AVERAGE('Team Metrics'!$S$2:$S$65))/IF(_xlfn.STDEV.P('Team Metrics'!$S$2:$S$65)=0,1,_xlfn.STDEV.P('Team Metrics'!$S$2:$S$65)),0)),4))</f>
        <v>0.89829999999999999</v>
      </c>
      <c r="L62" s="12">
        <f>IF($S62=FALSE(),"",ROUND((0.35*IFERROR((AB62-AVERAGE('Team Metrics'!$X$2:$X$65))/_xlfn.STDEV.P('Team Metrics'!$X$2:$X$65),0)) + (0.2*IFERROR((AC62-AVERAGE('Team Metrics'!$W$2:$W$65))/_xlfn.STDEV.P('Team Metrics'!$W$2:$W$65),0)) + (0.15*IFERROR((AD62-AVERAGE('Team Metrics'!$Y$2:$Y$65))/_xlfn.STDEV.P('Team Metrics'!$Y$2:$Y$65),0)) + (0.1*IFERROR((AE62-AVERAGE('Team Metrics'!$Z$2:$Z$65))/_xlfn.STDEV.P('Team Metrics'!$Z$2:$Z$65),0)) + (0.1*IFERROR((AF62-AVERAGE('Team Metrics'!$AA$2:$AA$65))/_xlfn.STDEV.P('Team Metrics'!$AA$2:$AA$65),0)) + (0.05*IFERROR((AG62-AVERAGE('Team Metrics'!$AB$2:$AB$65))/_xlfn.STDEV.P('Team Metrics'!$AB$2:$AB$65),0)) + (0.05*IFERROR((AH62-AVERAGE('Team Metrics'!$S$2:$S$65))/IF(_xlfn.STDEV.P('Team Metrics'!$S$2:$S$65)=0,1,_xlfn.STDEV.P('Team Metrics'!$S$2:$S$65)),0)),4))</f>
        <v>0.7722</v>
      </c>
      <c r="M62" s="12">
        <f t="shared" si="8"/>
        <v>0.12609999999999999</v>
      </c>
      <c r="N62" s="10" t="str">
        <f t="shared" si="9"/>
        <v>UCLA</v>
      </c>
      <c r="O62" s="7">
        <f t="shared" si="10"/>
        <v>51.5</v>
      </c>
      <c r="P62" s="5" t="str">
        <f t="shared" si="11"/>
        <v>UPSET</v>
      </c>
      <c r="Q62" s="5" t="s">
        <v>221</v>
      </c>
      <c r="R62" s="5" t="s">
        <v>123</v>
      </c>
      <c r="S62" s="10" t="b">
        <f t="shared" si="12"/>
        <v>1</v>
      </c>
      <c r="T62" s="5" t="str">
        <f t="shared" si="13"/>
        <v>ΔComposite=0.13; AdjNET Δ=-3.7; 3PT Δ=2.3; TO Δ=0.3; REB Δ=0.7</v>
      </c>
      <c r="U62" s="16">
        <f t="array" ref="U62">IF($S62=FALSE(),"",ROUND((0.75*INDEX('Team Ratings'!$G$2:$G$73,MATCH($G62,'Team Ratings'!$A$2:$A$73,0)))+(0.25*INDEX('Team Ratings'!$T$2:$T$73,MATCH($G62,'Team Ratings'!$A$2:$A$73,0))),3))</f>
        <v>26.35</v>
      </c>
      <c r="V62" s="16">
        <f t="array" ref="V62">IF($S62=FALSE(),"",ROUND(INDEX('Team Ratings'!$T$2:$T$73,MATCH($G62,'Team Ratings'!$A$2:$A$73,0))-INDEX('Team Ratings'!$G$2:$G$73,MATCH($G62,'Team Ratings'!$A$2:$A$73,0)),3))</f>
        <v>14.2</v>
      </c>
      <c r="W62" s="16">
        <f t="array" ref="W62">IF($S62=FALSE(),"",ROUND(INDEX('Team Ratings'!$O$2:$O$73,MATCH($G62,'Team Ratings'!$A$2:$A$73,0))-INDEX('Team Ratings'!$P$2:$P$73,MATCH($H62,'Team Ratings'!$A$2:$A$73,0)),3))</f>
        <v>6</v>
      </c>
      <c r="X62" s="16">
        <f t="array" ref="X62">IF($S62=FALSE(),"",ROUND(INDEX('Team Ratings'!$K$2:$K$73,MATCH($G62,'Team Ratings'!$A$2:$A$73,0))-INDEX('Team Ratings'!$J$2:$J$73,MATCH($H62,'Team Ratings'!$A$2:$A$73,0)),3))</f>
        <v>4.8</v>
      </c>
      <c r="Y62" s="16">
        <f t="array" ref="Y62">IF($S62=FALSE(),"",ROUND(MAX(0,MIN(10,5+((INDEX('Team Ratings'!$L$2:$L$73,MATCH($G62,'Team Ratings'!$A$2:$A$73,0))-INDEX('Team Ratings'!$M$2:$M$73,MATCH($H62,'Team Ratings'!$A$2:$A$73,0)))+(INDEX('Team Ratings'!$M$2:$M$73,MATCH($G62,'Team Ratings'!$A$2:$A$73,0))-INDEX('Team Ratings'!$L$2:$L$73,MATCH($H62,'Team Ratings'!$A$2:$A$73,0))))/2)),3))</f>
        <v>5.35</v>
      </c>
      <c r="Z62" s="16">
        <f t="array" ref="Z62">IF($S62=FALSE(),"",ROUND((1/I62)*4 + (INDEX('Team Ratings'!$T$2:$T$73,MATCH($G62,'Team Ratings'!$A$2:$A$73,0))/MAX('Team Ratings'!$T$2:$T$73))*4 + (1-(INDEX('Team Ratings'!$J$2:$J$73,MATCH($G62,'Team Ratings'!$A$2:$A$73,0))/MAX('Team Ratings'!$J$2:$J$73)))*2 + (INDEX('Team Ratings'!$N$2:$N$73,MATCH($G62,'Team Ratings'!$A$2:$A$73,0))/MAX('Team Ratings'!$N$2:$N$73)) + (INDEX('Team Ratings'!$M$2:$M$73,MATCH($G62,'Team Ratings'!$A$2:$A$73,0))/MAX('Team Ratings'!$M$2:$M$73)),2))</f>
        <v>6.6</v>
      </c>
      <c r="AA62" s="16">
        <f t="array" ref="AA62">IF($S62=FALSE(),"",IFERROR(INDEX('Team Ratings'!$Q$2:$Q$73,MATCH($G62,'Team Ratings'!$A$2:$A$73,0)),0))</f>
        <v>-1</v>
      </c>
      <c r="AB62" s="16">
        <f t="array" ref="AB62">IF($S62=FALSE(),"",ROUND((0.75*INDEX('Team Ratings'!$G$2:$G$73,MATCH($H62,'Team Ratings'!$A$2:$A$73,0)))+(0.25*INDEX('Team Ratings'!$T$2:$T$73,MATCH($H62,'Team Ratings'!$A$2:$A$73,0))),3))</f>
        <v>30.074999999999999</v>
      </c>
      <c r="AC62" s="16">
        <f t="array" ref="AC62">IF($S62=FALSE(),"",ROUND(INDEX('Team Ratings'!$T$2:$T$73,MATCH($H62,'Team Ratings'!$A$2:$A$73,0))-INDEX('Team Ratings'!$G$2:$G$73,MATCH($H62,'Team Ratings'!$A$2:$A$73,0)),3))</f>
        <v>7.9</v>
      </c>
      <c r="AD62" s="16">
        <f t="array" ref="AD62">IF($S62=FALSE(),"",ROUND(INDEX('Team Ratings'!$O$2:$O$73,MATCH($H62,'Team Ratings'!$A$2:$A$73,0))-INDEX('Team Ratings'!$P$2:$P$73,MATCH($G62,'Team Ratings'!$A$2:$A$73,0)),3))</f>
        <v>3.7</v>
      </c>
      <c r="AE62" s="16">
        <f t="array" ref="AE62">IF($S62=FALSE(),"",ROUND(INDEX('Team Ratings'!$K$2:$K$73,MATCH($H62,'Team Ratings'!$A$2:$A$73,0))-INDEX('Team Ratings'!$J$2:$J$73,MATCH($G62,'Team Ratings'!$A$2:$A$73,0)),3))</f>
        <v>4.5</v>
      </c>
      <c r="AF62" s="16">
        <f t="array" ref="AF62">IF($S62=FALSE(),"",ROUND(MAX(0,MIN(10,5+((INDEX('Team Ratings'!$L$2:$L$73,MATCH($H62,'Team Ratings'!$A$2:$A$73,0))-INDEX('Team Ratings'!$M$2:$M$73,MATCH($G62,'Team Ratings'!$A$2:$A$73,0)))+(INDEX('Team Ratings'!$M$2:$M$73,MATCH($H62,'Team Ratings'!$A$2:$A$73,0))-INDEX('Team Ratings'!$L$2:$L$73,MATCH($G62,'Team Ratings'!$A$2:$A$73,0))))/2)),3))</f>
        <v>4.6500000000000004</v>
      </c>
      <c r="AG62" s="16">
        <f t="array" ref="AG62">IF($S62=FALSE(),"",ROUND((1/J62)*4 + (INDEX('Team Ratings'!$T$2:$T$73,MATCH($H62,'Team Ratings'!$A$2:$A$73,0))/MAX('Team Ratings'!$T$2:$T$73))*4 + (1-(INDEX('Team Ratings'!$J$2:$J$73,MATCH($H62,'Team Ratings'!$A$2:$A$73,0))/MAX('Team Ratings'!$J$2:$J$73)))*2 + (INDEX('Team Ratings'!$N$2:$N$73,MATCH($H62,'Team Ratings'!$A$2:$A$73,0))/MAX('Team Ratings'!$N$2:$N$73)) + (INDEX('Team Ratings'!$M$2:$M$73,MATCH($H62,'Team Ratings'!$A$2:$A$73,0))/MAX('Team Ratings'!$M$2:$M$73)),2))</f>
        <v>6.82</v>
      </c>
      <c r="AH62" s="16">
        <f t="array" ref="AH62">IF($S62=FALSE(),"",IFERROR(INDEX('Team Ratings'!$Q$2:$Q$73,MATCH($H62,'Team Ratings'!$A$2:$A$73,0)),0))</f>
        <v>0</v>
      </c>
      <c r="AI62" s="10" t="b">
        <f t="shared" si="14"/>
        <v>1</v>
      </c>
      <c r="AJ62" s="10"/>
      <c r="AK62" s="10" t="str">
        <f t="shared" si="15"/>
        <v>UCLA</v>
      </c>
      <c r="AL62" s="10">
        <v>9</v>
      </c>
    </row>
    <row r="63" spans="1:38" ht="20" customHeight="1" x14ac:dyDescent="0.2">
      <c r="A63" s="14" t="s">
        <v>218</v>
      </c>
      <c r="B63" s="14" t="s">
        <v>219</v>
      </c>
      <c r="C63" s="5">
        <f>_xlfn.SWITCH(B63,
 "Round 1",1,
 "Round 2",2,
 "Sweet 16",3,
 "Elite 8",4,
 "Final Four",5,
 "Championship",6
)*100
+
COUNTIF($B$2:B63,B63)</f>
        <v>502</v>
      </c>
      <c r="D63" s="5" t="s">
        <v>222</v>
      </c>
      <c r="E63" s="5" t="s">
        <v>213</v>
      </c>
      <c r="F63" s="5" t="s">
        <v>215</v>
      </c>
      <c r="G63" s="5" t="s">
        <v>39</v>
      </c>
      <c r="H63" s="5" t="s">
        <v>80</v>
      </c>
      <c r="I63" s="15">
        <f t="array" ref="I63">IFERROR(INDEX('Team Ratings'!$B$2:$B$73,MATCH($G63,'Team Ratings'!$A$2:$A$73,0)),"")</f>
        <v>1</v>
      </c>
      <c r="J63" s="15">
        <f t="array" ref="J63">IFERROR(INDEX('Team Ratings'!$B$2:$B$73,MATCH($H63,'Team Ratings'!$A$2:$A$73,0)),"")</f>
        <v>2</v>
      </c>
      <c r="K63" s="12">
        <f>IF($S63=FALSE(),"",ROUND((0.35*IFERROR((U63-AVERAGE('Team Metrics'!$X$2:$X$65))/_xlfn.STDEV.P('Team Metrics'!$X$2:$X$65),0)) + (0.2*IFERROR((V63-AVERAGE('Team Metrics'!$W$2:$W$65))/_xlfn.STDEV.P('Team Metrics'!$W$2:$W$65),0)) + (0.15*IFERROR((W63-AVERAGE('Team Metrics'!$Y$2:$Y$65))/_xlfn.STDEV.P('Team Metrics'!$Y$2:$Y$65),0)) + (0.1*IFERROR((X63-AVERAGE('Team Metrics'!$Z$2:$Z$65))/_xlfn.STDEV.P('Team Metrics'!$Z$2:$Z$65),0)) + (0.1*IFERROR((Y63-AVERAGE('Team Metrics'!$AA$2:$AA$65))/_xlfn.STDEV.P('Team Metrics'!$AA$2:$AA$65),0)) + (0.05*IFERROR((Z63-AVERAGE('Team Metrics'!$AB$2:$AB$65))/_xlfn.STDEV.P('Team Metrics'!$AB$2:$AB$65),0)) + (0.05*IFERROR((AA63-AVERAGE('Team Metrics'!$S$2:$S$65))/IF(_xlfn.STDEV.P('Team Metrics'!$S$2:$S$65)=0,1,_xlfn.STDEV.P('Team Metrics'!$S$2:$S$65)),0)),4))</f>
        <v>0.93049999999999999</v>
      </c>
      <c r="L63" s="12">
        <f>IF($S63=FALSE(),"",ROUND((0.35*IFERROR((AB63-AVERAGE('Team Metrics'!$X$2:$X$65))/_xlfn.STDEV.P('Team Metrics'!$X$2:$X$65),0)) + (0.2*IFERROR((AC63-AVERAGE('Team Metrics'!$W$2:$W$65))/_xlfn.STDEV.P('Team Metrics'!$W$2:$W$65),0)) + (0.15*IFERROR((AD63-AVERAGE('Team Metrics'!$Y$2:$Y$65))/_xlfn.STDEV.P('Team Metrics'!$Y$2:$Y$65),0)) + (0.1*IFERROR((AE63-AVERAGE('Team Metrics'!$Z$2:$Z$65))/_xlfn.STDEV.P('Team Metrics'!$Z$2:$Z$65),0)) + (0.1*IFERROR((AF63-AVERAGE('Team Metrics'!$AA$2:$AA$65))/_xlfn.STDEV.P('Team Metrics'!$AA$2:$AA$65),0)) + (0.05*IFERROR((AG63-AVERAGE('Team Metrics'!$AB$2:$AB$65))/_xlfn.STDEV.P('Team Metrics'!$AB$2:$AB$65),0)) + (0.05*IFERROR((AH63-AVERAGE('Team Metrics'!$S$2:$S$65))/IF(_xlfn.STDEV.P('Team Metrics'!$S$2:$S$65)=0,1,_xlfn.STDEV.P('Team Metrics'!$S$2:$S$65)),0)),4))</f>
        <v>1.2133</v>
      </c>
      <c r="M63" s="12">
        <f t="shared" si="8"/>
        <v>-0.2828</v>
      </c>
      <c r="N63" s="10" t="str">
        <f t="shared" si="9"/>
        <v>Iowa St.</v>
      </c>
      <c r="O63" s="7">
        <f t="shared" si="10"/>
        <v>53.4</v>
      </c>
      <c r="P63" s="5" t="str">
        <f t="shared" si="11"/>
        <v>UPSET</v>
      </c>
      <c r="Q63" s="5" t="s">
        <v>221</v>
      </c>
      <c r="R63" s="5" t="s">
        <v>132</v>
      </c>
      <c r="S63" s="10" t="b">
        <f t="shared" si="12"/>
        <v>1</v>
      </c>
      <c r="T63" s="5" t="str">
        <f t="shared" si="13"/>
        <v>ΔComposite=0.28; AdjNET Δ=3.3; 3PT Δ=-3.4; TO Δ=-5.7; REB Δ=1.6</v>
      </c>
      <c r="U63" s="16">
        <f t="array" ref="U63">IF($S63=FALSE(),"",ROUND((0.75*INDEX('Team Ratings'!$G$2:$G$73,MATCH($G63,'Team Ratings'!$A$2:$A$73,0)))+(0.25*INDEX('Team Ratings'!$T$2:$T$73,MATCH($G63,'Team Ratings'!$A$2:$A$73,0))),3))</f>
        <v>36.524999999999999</v>
      </c>
      <c r="V63" s="16">
        <f t="array" ref="V63">IF($S63=FALSE(),"",ROUND(INDEX('Team Ratings'!$T$2:$T$73,MATCH($G63,'Team Ratings'!$A$2:$A$73,0))-INDEX('Team Ratings'!$G$2:$G$73,MATCH($G63,'Team Ratings'!$A$2:$A$73,0)),3))</f>
        <v>4.0999999999999996</v>
      </c>
      <c r="W63" s="16">
        <f t="array" ref="W63">IF($S63=FALSE(),"",ROUND(INDEX('Team Ratings'!$O$2:$O$73,MATCH($G63,'Team Ratings'!$A$2:$A$73,0))-INDEX('Team Ratings'!$P$2:$P$73,MATCH($H63,'Team Ratings'!$A$2:$A$73,0)),3))</f>
        <v>3.9</v>
      </c>
      <c r="X63" s="16">
        <f t="array" ref="X63">IF($S63=FALSE(),"",ROUND(INDEX('Team Ratings'!$K$2:$K$73,MATCH($G63,'Team Ratings'!$A$2:$A$73,0))-INDEX('Team Ratings'!$J$2:$J$73,MATCH($H63,'Team Ratings'!$A$2:$A$73,0)),3))</f>
        <v>1.6</v>
      </c>
      <c r="Y63" s="16">
        <f t="array" ref="Y63">IF($S63=FALSE(),"",ROUND(MAX(0,MIN(10,5+((INDEX('Team Ratings'!$L$2:$L$73,MATCH($G63,'Team Ratings'!$A$2:$A$73,0))-INDEX('Team Ratings'!$M$2:$M$73,MATCH($H63,'Team Ratings'!$A$2:$A$73,0)))+(INDEX('Team Ratings'!$M$2:$M$73,MATCH($G63,'Team Ratings'!$A$2:$A$73,0))-INDEX('Team Ratings'!$L$2:$L$73,MATCH($H63,'Team Ratings'!$A$2:$A$73,0))))/2)),3))</f>
        <v>5.8</v>
      </c>
      <c r="Z63" s="16">
        <f t="array" ref="Z63">IF($S63=FALSE(),"",ROUND((1/I63)*4 + (INDEX('Team Ratings'!$T$2:$T$73,MATCH($G63,'Team Ratings'!$A$2:$A$73,0))/MAX('Team Ratings'!$T$2:$T$73))*4 + (1-(INDEX('Team Ratings'!$J$2:$J$73,MATCH($G63,'Team Ratings'!$A$2:$A$73,0))/MAX('Team Ratings'!$J$2:$J$73)))*2 + (INDEX('Team Ratings'!$N$2:$N$73,MATCH($G63,'Team Ratings'!$A$2:$A$73,0))/MAX('Team Ratings'!$N$2:$N$73)) + (INDEX('Team Ratings'!$M$2:$M$73,MATCH($G63,'Team Ratings'!$A$2:$A$73,0))/MAX('Team Ratings'!$M$2:$M$73)),2))</f>
        <v>10.17</v>
      </c>
      <c r="AA63" s="16">
        <f t="array" ref="AA63">IF($S63=FALSE(),"",IFERROR(INDEX('Team Ratings'!$Q$2:$Q$73,MATCH($G63,'Team Ratings'!$A$2:$A$73,0)),0))</f>
        <v>0</v>
      </c>
      <c r="AB63" s="16">
        <f t="array" ref="AB63">IF($S63=FALSE(),"",ROUND((0.75*INDEX('Team Ratings'!$G$2:$G$73,MATCH($H63,'Team Ratings'!$A$2:$A$73,0)))+(0.25*INDEX('Team Ratings'!$T$2:$T$73,MATCH($H63,'Team Ratings'!$A$2:$A$73,0))),3))</f>
        <v>33.225000000000001</v>
      </c>
      <c r="AC63" s="16">
        <f t="array" ref="AC63">IF($S63=FALSE(),"",ROUND(INDEX('Team Ratings'!$T$2:$T$73,MATCH($H63,'Team Ratings'!$A$2:$A$73,0))-INDEX('Team Ratings'!$G$2:$G$73,MATCH($H63,'Team Ratings'!$A$2:$A$73,0)),3))</f>
        <v>8.1</v>
      </c>
      <c r="AD63" s="16">
        <f t="array" ref="AD63">IF($S63=FALSE(),"",ROUND(INDEX('Team Ratings'!$O$2:$O$73,MATCH($H63,'Team Ratings'!$A$2:$A$73,0))-INDEX('Team Ratings'!$P$2:$P$73,MATCH($G63,'Team Ratings'!$A$2:$A$73,0)),3))</f>
        <v>7.3</v>
      </c>
      <c r="AE63" s="16">
        <f t="array" ref="AE63">IF($S63=FALSE(),"",ROUND(INDEX('Team Ratings'!$K$2:$K$73,MATCH($H63,'Team Ratings'!$A$2:$A$73,0))-INDEX('Team Ratings'!$J$2:$J$73,MATCH($G63,'Team Ratings'!$A$2:$A$73,0)),3))</f>
        <v>7.3</v>
      </c>
      <c r="AF63" s="16">
        <f t="array" ref="AF63">IF($S63=FALSE(),"",ROUND(MAX(0,MIN(10,5+((INDEX('Team Ratings'!$L$2:$L$73,MATCH($H63,'Team Ratings'!$A$2:$A$73,0))-INDEX('Team Ratings'!$M$2:$M$73,MATCH($G63,'Team Ratings'!$A$2:$A$73,0)))+(INDEX('Team Ratings'!$M$2:$M$73,MATCH($H63,'Team Ratings'!$A$2:$A$73,0))-INDEX('Team Ratings'!$L$2:$L$73,MATCH($G63,'Team Ratings'!$A$2:$A$73,0))))/2)),3))</f>
        <v>4.2</v>
      </c>
      <c r="AG63" s="16">
        <f t="array" ref="AG63">IF($S63=FALSE(),"",ROUND((1/J63)*4 + (INDEX('Team Ratings'!$T$2:$T$73,MATCH($H63,'Team Ratings'!$A$2:$A$73,0))/MAX('Team Ratings'!$T$2:$T$73))*4 + (1-(INDEX('Team Ratings'!$J$2:$J$73,MATCH($H63,'Team Ratings'!$A$2:$A$73,0))/MAX('Team Ratings'!$J$2:$J$73)))*2 + (INDEX('Team Ratings'!$N$2:$N$73,MATCH($H63,'Team Ratings'!$A$2:$A$73,0))/MAX('Team Ratings'!$N$2:$N$73)) + (INDEX('Team Ratings'!$M$2:$M$73,MATCH($H63,'Team Ratings'!$A$2:$A$73,0))/MAX('Team Ratings'!$M$2:$M$73)),2))</f>
        <v>7.98</v>
      </c>
      <c r="AH63" s="16">
        <f t="array" ref="AH63">IF($S63=FALSE(),"",IFERROR(INDEX('Team Ratings'!$Q$2:$Q$73,MATCH($H63,'Team Ratings'!$A$2:$A$73,0)),0))</f>
        <v>0</v>
      </c>
      <c r="AI63" s="10" t="b">
        <f t="shared" si="14"/>
        <v>1</v>
      </c>
      <c r="AJ63" s="10"/>
      <c r="AK63" s="10" t="str">
        <f t="shared" si="15"/>
        <v>Iowa St.</v>
      </c>
      <c r="AL63" s="10">
        <v>9</v>
      </c>
    </row>
    <row r="64" spans="1:38" ht="20" customHeight="1" x14ac:dyDescent="0.2">
      <c r="A64" s="14" t="s">
        <v>221</v>
      </c>
      <c r="B64" s="14" t="s">
        <v>223</v>
      </c>
      <c r="C64" s="5">
        <f>_xlfn.SWITCH(B64,
 "Round 1",1,
 "Round 2",2,
 "Sweet 16",3,
 "Elite 8",4,
 "Final Four",5,
 "Championship",6
)*100
+
COUNTIF($B$2:B64,B64)</f>
        <v>601</v>
      </c>
      <c r="D64" s="5" t="s">
        <v>224</v>
      </c>
      <c r="E64" s="5" t="s">
        <v>217</v>
      </c>
      <c r="F64" s="5" t="s">
        <v>218</v>
      </c>
      <c r="G64" s="5" t="s">
        <v>29</v>
      </c>
      <c r="H64" s="5" t="s">
        <v>80</v>
      </c>
      <c r="I64" s="15">
        <v>7</v>
      </c>
      <c r="J64" s="15">
        <v>2</v>
      </c>
      <c r="K64" s="12">
        <f>IF($S64=FALSE(),"",ROUND((0.35*IFERROR((U64-AVERAGE('Team Metrics'!$X$2:$X$65))/_xlfn.STDEV.P('Team Metrics'!$X$2:$X$65),0)) + (0.2*IFERROR((V64-AVERAGE('Team Metrics'!$W$2:$W$65))/_xlfn.STDEV.P('Team Metrics'!$W$2:$W$65),0)) + (0.15*IFERROR((W64-AVERAGE('Team Metrics'!$Y$2:$Y$65))/_xlfn.STDEV.P('Team Metrics'!$Y$2:$Y$65),0)) + (0.1*IFERROR((X64-AVERAGE('Team Metrics'!$Z$2:$Z$65))/_xlfn.STDEV.P('Team Metrics'!$Z$2:$Z$65),0)) + (0.1*IFERROR((Y64-AVERAGE('Team Metrics'!$AA$2:$AA$65))/_xlfn.STDEV.P('Team Metrics'!$AA$2:$AA$65),0)) + (0.05*IFERROR((Z64-AVERAGE('Team Metrics'!$AB$2:$AB$65))/_xlfn.STDEV.P('Team Metrics'!$AB$2:$AB$65),0)) + (0.05*IFERROR((AA64-AVERAGE('Team Metrics'!$S$2:$S$65))/IF(_xlfn.STDEV.P('Team Metrics'!$S$2:$S$65)=0,1,_xlfn.STDEV.P('Team Metrics'!$S$2:$S$65)),0)),4))</f>
        <v>0.83360000000000001</v>
      </c>
      <c r="L64" s="12">
        <f>IF($S64=FALSE(),"",ROUND((0.35*IFERROR((AB64-AVERAGE('Team Metrics'!$X$2:$X$65))/_xlfn.STDEV.P('Team Metrics'!$X$2:$X$65),0)) + (0.2*IFERROR((AC64-AVERAGE('Team Metrics'!$W$2:$W$65))/_xlfn.STDEV.P('Team Metrics'!$W$2:$W$65),0)) + (0.15*IFERROR((AD64-AVERAGE('Team Metrics'!$Y$2:$Y$65))/_xlfn.STDEV.P('Team Metrics'!$Y$2:$Y$65),0)) + (0.1*IFERROR((AE64-AVERAGE('Team Metrics'!$Z$2:$Z$65))/_xlfn.STDEV.P('Team Metrics'!$Z$2:$Z$65),0)) + (0.1*IFERROR((AF64-AVERAGE('Team Metrics'!$AA$2:$AA$65))/_xlfn.STDEV.P('Team Metrics'!$AA$2:$AA$65),0)) + (0.05*IFERROR((AG64-AVERAGE('Team Metrics'!$AB$2:$AB$65))/_xlfn.STDEV.P('Team Metrics'!$AB$2:$AB$65),0)) + (0.05*IFERROR((AH64-AVERAGE('Team Metrics'!$S$2:$S$65))/IF(_xlfn.STDEV.P('Team Metrics'!$S$2:$S$65)=0,1,_xlfn.STDEV.P('Team Metrics'!$S$2:$S$65)),0)),4))</f>
        <v>1.2714000000000001</v>
      </c>
      <c r="M64" s="12">
        <f t="shared" si="8"/>
        <v>-0.43780000000000002</v>
      </c>
      <c r="N64" s="10" t="str">
        <f t="shared" si="9"/>
        <v>Iowa St.</v>
      </c>
      <c r="O64" s="7">
        <f t="shared" si="10"/>
        <v>55.3</v>
      </c>
      <c r="P64" s="5" t="str">
        <f t="shared" si="11"/>
        <v/>
      </c>
      <c r="Q64" s="5"/>
      <c r="R64" s="5"/>
      <c r="S64" s="10" t="b">
        <f t="shared" si="12"/>
        <v>1</v>
      </c>
      <c r="T64" s="5" t="str">
        <f t="shared" si="13"/>
        <v>ΔComposite=0.44; AdjNET Δ=-6.9; 3PT Δ=-0.8; TO Δ=-6; REB Δ=0.1</v>
      </c>
      <c r="U64" s="16">
        <f t="array" ref="U64">IF($S64=FALSE(),"",ROUND((0.75*INDEX('Team Ratings'!$G$2:$G$73,MATCH($G64,'Team Ratings'!$A$2:$A$73,0)))+(0.25*INDEX('Team Ratings'!$T$2:$T$73,MATCH($G64,'Team Ratings'!$A$2:$A$73,0))),3))</f>
        <v>26.35</v>
      </c>
      <c r="V64" s="16">
        <f t="array" ref="V64">IF($S64=FALSE(),"",ROUND(INDEX('Team Ratings'!$T$2:$T$73,MATCH($G64,'Team Ratings'!$A$2:$A$73,0))-INDEX('Team Ratings'!$G$2:$G$73,MATCH($G64,'Team Ratings'!$A$2:$A$73,0)),3))</f>
        <v>14.2</v>
      </c>
      <c r="W64" s="16">
        <f t="array" ref="W64">IF($S64=FALSE(),"",ROUND(INDEX('Team Ratings'!$O$2:$O$73,MATCH($G64,'Team Ratings'!$A$2:$A$73,0))-INDEX('Team Ratings'!$P$2:$P$73,MATCH($H64,'Team Ratings'!$A$2:$A$73,0)),3))</f>
        <v>6.1</v>
      </c>
      <c r="X64" s="16">
        <f t="array" ref="X64">IF($S64=FALSE(),"",ROUND(INDEX('Team Ratings'!$K$2:$K$73,MATCH($G64,'Team Ratings'!$A$2:$A$73,0))-INDEX('Team Ratings'!$J$2:$J$73,MATCH($H64,'Team Ratings'!$A$2:$A$73,0)),3))</f>
        <v>3</v>
      </c>
      <c r="Y64" s="16">
        <f t="array" ref="Y64">IF($S64=FALSE(),"",ROUND(MAX(0,MIN(10,5+((INDEX('Team Ratings'!$L$2:$L$73,MATCH($G64,'Team Ratings'!$A$2:$A$73,0))-INDEX('Team Ratings'!$M$2:$M$73,MATCH($H64,'Team Ratings'!$A$2:$A$73,0)))+(INDEX('Team Ratings'!$M$2:$M$73,MATCH($G64,'Team Ratings'!$A$2:$A$73,0))-INDEX('Team Ratings'!$L$2:$L$73,MATCH($H64,'Team Ratings'!$A$2:$A$73,0))))/2)),3))</f>
        <v>5.05</v>
      </c>
      <c r="Z64" s="16">
        <f t="array" ref="Z64">IF($S64=FALSE(),"",ROUND((1/I64)*4 + (INDEX('Team Ratings'!$T$2:$T$73,MATCH($G64,'Team Ratings'!$A$2:$A$73,0))/MAX('Team Ratings'!$T$2:$T$73))*4 + (1-(INDEX('Team Ratings'!$J$2:$J$73,MATCH($G64,'Team Ratings'!$A$2:$A$73,0))/MAX('Team Ratings'!$J$2:$J$73)))*2 + (INDEX('Team Ratings'!$N$2:$N$73,MATCH($G64,'Team Ratings'!$A$2:$A$73,0))/MAX('Team Ratings'!$N$2:$N$73)) + (INDEX('Team Ratings'!$M$2:$M$73,MATCH($G64,'Team Ratings'!$A$2:$A$73,0))/MAX('Team Ratings'!$M$2:$M$73)),2))</f>
        <v>6.6</v>
      </c>
      <c r="AA64" s="16">
        <f t="array" ref="AA64">IF($S64=FALSE(),"",IFERROR(INDEX('Team Ratings'!$Q$2:$Q$73,MATCH($G64,'Team Ratings'!$A$2:$A$73,0)),0))</f>
        <v>-1</v>
      </c>
      <c r="AB64" s="16">
        <f t="array" ref="AB64">IF($S64=FALSE(),"",ROUND((0.75*INDEX('Team Ratings'!$G$2:$G$73,MATCH($H64,'Team Ratings'!$A$2:$A$73,0)))+(0.25*INDEX('Team Ratings'!$T$2:$T$73,MATCH($H64,'Team Ratings'!$A$2:$A$73,0))),3))</f>
        <v>33.225000000000001</v>
      </c>
      <c r="AC64" s="16">
        <f t="array" ref="AC64">IF($S64=FALSE(),"",ROUND(INDEX('Team Ratings'!$T$2:$T$73,MATCH($H64,'Team Ratings'!$A$2:$A$73,0))-INDEX('Team Ratings'!$G$2:$G$73,MATCH($H64,'Team Ratings'!$A$2:$A$73,0)),3))</f>
        <v>8.1</v>
      </c>
      <c r="AD64" s="16">
        <f t="array" ref="AD64">IF($S64=FALSE(),"",ROUND(INDEX('Team Ratings'!$O$2:$O$73,MATCH($H64,'Team Ratings'!$A$2:$A$73,0))-INDEX('Team Ratings'!$P$2:$P$73,MATCH($G64,'Team Ratings'!$A$2:$A$73,0)),3))</f>
        <v>6.9</v>
      </c>
      <c r="AE64" s="16">
        <f t="array" ref="AE64">IF($S64=FALSE(),"",ROUND(INDEX('Team Ratings'!$K$2:$K$73,MATCH($H64,'Team Ratings'!$A$2:$A$73,0))-INDEX('Team Ratings'!$J$2:$J$73,MATCH($G64,'Team Ratings'!$A$2:$A$73,0)),3))</f>
        <v>9</v>
      </c>
      <c r="AF64" s="16">
        <f t="array" ref="AF64">IF($S64=FALSE(),"",ROUND(MAX(0,MIN(10,5+((INDEX('Team Ratings'!$L$2:$L$73,MATCH($H64,'Team Ratings'!$A$2:$A$73,0))-INDEX('Team Ratings'!$M$2:$M$73,MATCH($G64,'Team Ratings'!$A$2:$A$73,0)))+(INDEX('Team Ratings'!$M$2:$M$73,MATCH($H64,'Team Ratings'!$A$2:$A$73,0))-INDEX('Team Ratings'!$L$2:$L$73,MATCH($G64,'Team Ratings'!$A$2:$A$73,0))))/2)),3))</f>
        <v>4.95</v>
      </c>
      <c r="AG64" s="16">
        <f t="array" ref="AG64">IF($S64=FALSE(),"",ROUND((1/J64)*4 + (INDEX('Team Ratings'!$T$2:$T$73,MATCH($H64,'Team Ratings'!$A$2:$A$73,0))/MAX('Team Ratings'!$T$2:$T$73))*4 + (1-(INDEX('Team Ratings'!$J$2:$J$73,MATCH($H64,'Team Ratings'!$A$2:$A$73,0))/MAX('Team Ratings'!$J$2:$J$73)))*2 + (INDEX('Team Ratings'!$N$2:$N$73,MATCH($H64,'Team Ratings'!$A$2:$A$73,0))/MAX('Team Ratings'!$N$2:$N$73)) + (INDEX('Team Ratings'!$M$2:$M$73,MATCH($H64,'Team Ratings'!$A$2:$A$73,0))/MAX('Team Ratings'!$M$2:$M$73)),2))</f>
        <v>7.98</v>
      </c>
      <c r="AH64" s="16">
        <f t="array" ref="AH64">IF($S64=FALSE(),"",IFERROR(INDEX('Team Ratings'!$Q$2:$Q$73,MATCH($H64,'Team Ratings'!$A$2:$A$73,0)),0))</f>
        <v>0</v>
      </c>
      <c r="AI64" s="10" t="b">
        <f t="shared" si="14"/>
        <v>1</v>
      </c>
      <c r="AJ64" s="10"/>
      <c r="AK64" s="10" t="str">
        <f t="shared" si="15"/>
        <v>Iowa St.</v>
      </c>
      <c r="AL64" s="10">
        <v>9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274"/>
  <sheetViews>
    <sheetView topLeftCell="B1" zoomScaleNormal="100" workbookViewId="0">
      <pane ySplit="1" topLeftCell="A54" activePane="bottomLeft" state="frozen"/>
      <selection pane="bottomLeft" activeCell="G64" sqref="G64"/>
    </sheetView>
  </sheetViews>
  <sheetFormatPr baseColWidth="10" defaultColWidth="41" defaultRowHeight="20" customHeight="1" x14ac:dyDescent="0.2"/>
  <sheetData>
    <row r="1" spans="1:7" ht="20" customHeight="1" x14ac:dyDescent="0.2">
      <c r="A1" s="17" t="s">
        <v>225</v>
      </c>
      <c r="B1" s="17" t="s">
        <v>226</v>
      </c>
      <c r="C1" s="17" t="s">
        <v>171</v>
      </c>
      <c r="D1" s="17" t="s">
        <v>227</v>
      </c>
      <c r="E1" s="17" t="s">
        <v>123</v>
      </c>
      <c r="F1" s="17" t="s">
        <v>132</v>
      </c>
      <c r="G1" s="17" t="s">
        <v>228</v>
      </c>
    </row>
    <row r="2" spans="1:7" ht="20" customHeight="1" x14ac:dyDescent="0.2">
      <c r="A2" s="52" t="s">
        <v>21</v>
      </c>
      <c r="B2" s="53">
        <v>0.64600000000000002</v>
      </c>
      <c r="C2" s="52" t="s">
        <v>201</v>
      </c>
      <c r="D2" s="52" t="s">
        <v>229</v>
      </c>
      <c r="E2" s="52" t="s">
        <v>21</v>
      </c>
      <c r="F2" s="52" t="s">
        <v>38</v>
      </c>
      <c r="G2" s="52">
        <v>101</v>
      </c>
    </row>
    <row r="3" spans="1:7" ht="20" customHeight="1" x14ac:dyDescent="0.2">
      <c r="A3" s="52" t="s">
        <v>30</v>
      </c>
      <c r="B3" s="53">
        <v>0.53100000000000003</v>
      </c>
      <c r="C3" s="52" t="s">
        <v>201</v>
      </c>
      <c r="D3" s="52" t="s">
        <v>230</v>
      </c>
      <c r="E3" s="52" t="s">
        <v>31</v>
      </c>
      <c r="F3" s="52" t="s">
        <v>30</v>
      </c>
      <c r="G3" s="52">
        <v>102</v>
      </c>
    </row>
    <row r="4" spans="1:7" ht="20" customHeight="1" x14ac:dyDescent="0.2">
      <c r="A4" s="52" t="s">
        <v>27</v>
      </c>
      <c r="B4" s="53">
        <v>0.59799999999999998</v>
      </c>
      <c r="C4" s="52" t="s">
        <v>201</v>
      </c>
      <c r="D4" s="52" t="s">
        <v>231</v>
      </c>
      <c r="E4" s="52" t="s">
        <v>27</v>
      </c>
      <c r="F4" s="52" t="s">
        <v>34</v>
      </c>
      <c r="G4" s="52">
        <v>103</v>
      </c>
    </row>
    <row r="5" spans="1:7" ht="20" customHeight="1" x14ac:dyDescent="0.2">
      <c r="A5" s="52" t="s">
        <v>35</v>
      </c>
      <c r="B5" s="53">
        <v>0.56699999999999995</v>
      </c>
      <c r="C5" s="52" t="s">
        <v>201</v>
      </c>
      <c r="D5" s="52" t="s">
        <v>232</v>
      </c>
      <c r="E5" s="52" t="s">
        <v>35</v>
      </c>
      <c r="F5" s="52" t="s">
        <v>26</v>
      </c>
      <c r="G5" s="52">
        <v>104</v>
      </c>
    </row>
    <row r="6" spans="1:7" ht="20" customHeight="1" x14ac:dyDescent="0.2">
      <c r="A6" s="52" t="s">
        <v>33</v>
      </c>
      <c r="B6" s="53">
        <v>0.54100000000000004</v>
      </c>
      <c r="C6" s="52" t="s">
        <v>201</v>
      </c>
      <c r="D6" s="52" t="s">
        <v>233</v>
      </c>
      <c r="E6" s="52" t="s">
        <v>28</v>
      </c>
      <c r="F6" s="52" t="s">
        <v>33</v>
      </c>
      <c r="G6" s="52">
        <v>105</v>
      </c>
    </row>
    <row r="7" spans="1:7" ht="20" customHeight="1" x14ac:dyDescent="0.2">
      <c r="A7" s="52" t="s">
        <v>25</v>
      </c>
      <c r="B7" s="53">
        <v>0.55200000000000005</v>
      </c>
      <c r="C7" s="52" t="s">
        <v>201</v>
      </c>
      <c r="D7" s="52" t="s">
        <v>234</v>
      </c>
      <c r="E7" s="52" t="s">
        <v>36</v>
      </c>
      <c r="F7" s="52" t="s">
        <v>25</v>
      </c>
      <c r="G7" s="52">
        <v>106</v>
      </c>
    </row>
    <row r="8" spans="1:7" ht="20" customHeight="1" x14ac:dyDescent="0.2">
      <c r="A8" s="52" t="s">
        <v>29</v>
      </c>
      <c r="B8" s="53">
        <v>0.63800000000000001</v>
      </c>
      <c r="C8" s="52" t="s">
        <v>201</v>
      </c>
      <c r="D8" s="52" t="s">
        <v>235</v>
      </c>
      <c r="E8" s="52" t="s">
        <v>29</v>
      </c>
      <c r="F8" s="52" t="s">
        <v>32</v>
      </c>
      <c r="G8" s="52">
        <v>107</v>
      </c>
    </row>
    <row r="9" spans="1:7" ht="20" customHeight="1" x14ac:dyDescent="0.2">
      <c r="A9" s="52" t="s">
        <v>24</v>
      </c>
      <c r="B9" s="53">
        <v>0.60499999999999998</v>
      </c>
      <c r="C9" s="52" t="s">
        <v>201</v>
      </c>
      <c r="D9" s="52" t="s">
        <v>236</v>
      </c>
      <c r="E9" s="52" t="s">
        <v>37</v>
      </c>
      <c r="F9" s="52" t="s">
        <v>24</v>
      </c>
      <c r="G9" s="52">
        <v>108</v>
      </c>
    </row>
    <row r="10" spans="1:7" ht="20" customHeight="1" x14ac:dyDescent="0.2">
      <c r="A10" s="52" t="s">
        <v>39</v>
      </c>
      <c r="B10" s="53">
        <v>0.67400000000000004</v>
      </c>
      <c r="C10" s="52" t="s">
        <v>201</v>
      </c>
      <c r="D10" s="52" t="s">
        <v>237</v>
      </c>
      <c r="E10" s="52" t="s">
        <v>39</v>
      </c>
      <c r="F10" s="52" t="s">
        <v>58</v>
      </c>
      <c r="G10" s="52">
        <v>109</v>
      </c>
    </row>
    <row r="11" spans="1:7" ht="20" customHeight="1" x14ac:dyDescent="0.2">
      <c r="A11" s="52" t="s">
        <v>48</v>
      </c>
      <c r="B11" s="53">
        <v>0.52200000000000002</v>
      </c>
      <c r="C11" s="52" t="s">
        <v>201</v>
      </c>
      <c r="D11" s="52" t="s">
        <v>238</v>
      </c>
      <c r="E11" s="52" t="s">
        <v>48</v>
      </c>
      <c r="F11" s="52" t="s">
        <v>47</v>
      </c>
      <c r="G11" s="52">
        <v>110</v>
      </c>
    </row>
    <row r="12" spans="1:7" ht="20" customHeight="1" x14ac:dyDescent="0.2">
      <c r="A12" s="52" t="s">
        <v>44</v>
      </c>
      <c r="B12" s="53">
        <v>0.59</v>
      </c>
      <c r="C12" s="52" t="s">
        <v>201</v>
      </c>
      <c r="D12" s="52" t="s">
        <v>239</v>
      </c>
      <c r="E12" s="52" t="s">
        <v>44</v>
      </c>
      <c r="F12" s="52" t="s">
        <v>54</v>
      </c>
      <c r="G12" s="52">
        <v>111</v>
      </c>
    </row>
    <row r="13" spans="1:7" ht="20" customHeight="1" x14ac:dyDescent="0.2">
      <c r="A13" s="52" t="s">
        <v>43</v>
      </c>
      <c r="B13" s="53">
        <v>0.66700000000000004</v>
      </c>
      <c r="C13" s="52" t="s">
        <v>201</v>
      </c>
      <c r="D13" s="52" t="s">
        <v>240</v>
      </c>
      <c r="E13" s="52" t="s">
        <v>55</v>
      </c>
      <c r="F13" s="52" t="s">
        <v>43</v>
      </c>
      <c r="G13" s="52">
        <v>112</v>
      </c>
    </row>
    <row r="14" spans="1:7" ht="20" customHeight="1" x14ac:dyDescent="0.2">
      <c r="A14" s="52" t="s">
        <v>45</v>
      </c>
      <c r="B14" s="53">
        <v>0.58799999999999997</v>
      </c>
      <c r="C14" s="52" t="s">
        <v>201</v>
      </c>
      <c r="D14" s="52" t="s">
        <v>241</v>
      </c>
      <c r="E14" s="52" t="s">
        <v>45</v>
      </c>
      <c r="F14" s="52" t="s">
        <v>53</v>
      </c>
      <c r="G14" s="52">
        <v>113</v>
      </c>
    </row>
    <row r="15" spans="1:7" ht="20" customHeight="1" x14ac:dyDescent="0.2">
      <c r="A15" s="52" t="s">
        <v>42</v>
      </c>
      <c r="B15" s="53">
        <v>0.55500000000000005</v>
      </c>
      <c r="C15" s="52" t="s">
        <v>201</v>
      </c>
      <c r="D15" s="52" t="s">
        <v>242</v>
      </c>
      <c r="E15" s="52" t="s">
        <v>56</v>
      </c>
      <c r="F15" s="52" t="s">
        <v>42</v>
      </c>
      <c r="G15" s="52">
        <v>114</v>
      </c>
    </row>
    <row r="16" spans="1:7" ht="20" customHeight="1" x14ac:dyDescent="0.2">
      <c r="A16" s="52" t="s">
        <v>46</v>
      </c>
      <c r="B16" s="53">
        <v>0.53100000000000003</v>
      </c>
      <c r="C16" s="52" t="s">
        <v>201</v>
      </c>
      <c r="D16" s="52" t="s">
        <v>243</v>
      </c>
      <c r="E16" s="52" t="s">
        <v>46</v>
      </c>
      <c r="F16" s="52" t="s">
        <v>49</v>
      </c>
      <c r="G16" s="52">
        <v>115</v>
      </c>
    </row>
    <row r="17" spans="1:7" ht="20" customHeight="1" x14ac:dyDescent="0.2">
      <c r="A17" s="52" t="s">
        <v>41</v>
      </c>
      <c r="B17" s="53">
        <v>0.61199999999999999</v>
      </c>
      <c r="C17" s="52" t="s">
        <v>201</v>
      </c>
      <c r="D17" s="52" t="s">
        <v>244</v>
      </c>
      <c r="E17" s="52" t="s">
        <v>57</v>
      </c>
      <c r="F17" s="52" t="s">
        <v>41</v>
      </c>
      <c r="G17" s="52">
        <v>116</v>
      </c>
    </row>
    <row r="18" spans="1:7" ht="20" customHeight="1" x14ac:dyDescent="0.2">
      <c r="A18" s="52" t="s">
        <v>59</v>
      </c>
      <c r="B18" s="53">
        <v>0.58299999999999996</v>
      </c>
      <c r="C18" s="52" t="s">
        <v>201</v>
      </c>
      <c r="D18" s="52" t="s">
        <v>245</v>
      </c>
      <c r="E18" s="52" t="s">
        <v>77</v>
      </c>
      <c r="F18" s="52" t="s">
        <v>59</v>
      </c>
      <c r="G18" s="52">
        <v>117</v>
      </c>
    </row>
    <row r="19" spans="1:7" ht="20" customHeight="1" x14ac:dyDescent="0.2">
      <c r="A19" s="52" t="s">
        <v>68</v>
      </c>
      <c r="B19" s="53">
        <v>0.56000000000000005</v>
      </c>
      <c r="C19" s="52" t="s">
        <v>201</v>
      </c>
      <c r="D19" s="52" t="s">
        <v>246</v>
      </c>
      <c r="E19" s="52" t="s">
        <v>67</v>
      </c>
      <c r="F19" s="52" t="s">
        <v>68</v>
      </c>
      <c r="G19" s="52">
        <v>118</v>
      </c>
    </row>
    <row r="20" spans="1:7" ht="20" customHeight="1" x14ac:dyDescent="0.2">
      <c r="A20" s="52" t="s">
        <v>64</v>
      </c>
      <c r="B20" s="53">
        <v>0.53500000000000003</v>
      </c>
      <c r="C20" s="52" t="s">
        <v>201</v>
      </c>
      <c r="D20" s="52" t="s">
        <v>247</v>
      </c>
      <c r="E20" s="52" t="s">
        <v>71</v>
      </c>
      <c r="F20" s="52" t="s">
        <v>64</v>
      </c>
      <c r="G20" s="52">
        <v>119</v>
      </c>
    </row>
    <row r="21" spans="1:7" ht="20" customHeight="1" x14ac:dyDescent="0.2">
      <c r="A21" s="52" t="s">
        <v>72</v>
      </c>
      <c r="B21" s="53">
        <v>0.56200000000000006</v>
      </c>
      <c r="C21" s="52" t="s">
        <v>201</v>
      </c>
      <c r="D21" s="52" t="s">
        <v>248</v>
      </c>
      <c r="E21" s="52" t="s">
        <v>63</v>
      </c>
      <c r="F21" s="52" t="s">
        <v>72</v>
      </c>
      <c r="G21" s="52">
        <v>120</v>
      </c>
    </row>
    <row r="22" spans="1:7" ht="20" customHeight="1" x14ac:dyDescent="0.2">
      <c r="A22" s="52" t="s">
        <v>70</v>
      </c>
      <c r="B22" s="53">
        <v>0.58299999999999996</v>
      </c>
      <c r="C22" s="52" t="s">
        <v>201</v>
      </c>
      <c r="D22" s="52" t="s">
        <v>249</v>
      </c>
      <c r="E22" s="52" t="s">
        <v>70</v>
      </c>
      <c r="F22" s="52" t="s">
        <v>65</v>
      </c>
      <c r="G22" s="52">
        <v>121</v>
      </c>
    </row>
    <row r="23" spans="1:7" ht="20" customHeight="1" x14ac:dyDescent="0.2">
      <c r="A23" s="52" t="s">
        <v>62</v>
      </c>
      <c r="B23" s="53">
        <v>0.52200000000000002</v>
      </c>
      <c r="C23" s="52" t="s">
        <v>201</v>
      </c>
      <c r="D23" s="52" t="s">
        <v>250</v>
      </c>
      <c r="E23" s="52" t="s">
        <v>62</v>
      </c>
      <c r="F23" s="52" t="s">
        <v>73</v>
      </c>
      <c r="G23" s="52">
        <v>122</v>
      </c>
    </row>
    <row r="24" spans="1:7" ht="20" customHeight="1" x14ac:dyDescent="0.2">
      <c r="A24" s="52" t="s">
        <v>66</v>
      </c>
      <c r="B24" s="53">
        <v>0.52100000000000002</v>
      </c>
      <c r="C24" s="52" t="s">
        <v>201</v>
      </c>
      <c r="D24" s="52" t="s">
        <v>251</v>
      </c>
      <c r="E24" s="52" t="s">
        <v>69</v>
      </c>
      <c r="F24" s="52" t="s">
        <v>66</v>
      </c>
      <c r="G24" s="52">
        <v>123</v>
      </c>
    </row>
    <row r="25" spans="1:7" ht="20" customHeight="1" x14ac:dyDescent="0.2">
      <c r="A25" s="52" t="s">
        <v>61</v>
      </c>
      <c r="B25" s="53">
        <v>0.6</v>
      </c>
      <c r="C25" s="52" t="s">
        <v>201</v>
      </c>
      <c r="D25" s="52" t="s">
        <v>252</v>
      </c>
      <c r="E25" s="52" t="s">
        <v>61</v>
      </c>
      <c r="F25" s="52" t="s">
        <v>74</v>
      </c>
      <c r="G25" s="52">
        <v>124</v>
      </c>
    </row>
    <row r="26" spans="1:7" ht="20" customHeight="1" x14ac:dyDescent="0.2">
      <c r="A26" s="52" t="s">
        <v>78</v>
      </c>
      <c r="B26" s="53">
        <v>0.57999999999999996</v>
      </c>
      <c r="C26" s="52" t="s">
        <v>201</v>
      </c>
      <c r="D26" s="52" t="s">
        <v>253</v>
      </c>
      <c r="E26" s="52" t="s">
        <v>96</v>
      </c>
      <c r="F26" s="52" t="s">
        <v>78</v>
      </c>
      <c r="G26" s="52">
        <v>125</v>
      </c>
    </row>
    <row r="27" spans="1:7" ht="20" customHeight="1" x14ac:dyDescent="0.2">
      <c r="A27" s="52" t="s">
        <v>86</v>
      </c>
      <c r="B27" s="53">
        <v>0.58299999999999996</v>
      </c>
      <c r="C27" s="52" t="s">
        <v>201</v>
      </c>
      <c r="D27" s="52" t="s">
        <v>254</v>
      </c>
      <c r="E27" s="52" t="s">
        <v>86</v>
      </c>
      <c r="F27" s="52" t="s">
        <v>87</v>
      </c>
      <c r="G27" s="52">
        <v>126</v>
      </c>
    </row>
    <row r="28" spans="1:7" ht="20" customHeight="1" x14ac:dyDescent="0.2">
      <c r="A28" s="52" t="s">
        <v>92</v>
      </c>
      <c r="B28" s="53">
        <v>0.52100000000000002</v>
      </c>
      <c r="C28" s="52" t="s">
        <v>201</v>
      </c>
      <c r="D28" s="52" t="s">
        <v>255</v>
      </c>
      <c r="E28" s="52" t="s">
        <v>92</v>
      </c>
      <c r="F28" s="52" t="s">
        <v>83</v>
      </c>
      <c r="G28" s="52">
        <v>127</v>
      </c>
    </row>
    <row r="29" spans="1:7" ht="20" customHeight="1" x14ac:dyDescent="0.2">
      <c r="A29" s="52" t="s">
        <v>82</v>
      </c>
      <c r="B29" s="53">
        <v>0.505</v>
      </c>
      <c r="C29" s="52" t="s">
        <v>201</v>
      </c>
      <c r="D29" s="52" t="s">
        <v>256</v>
      </c>
      <c r="E29" s="52" t="s">
        <v>82</v>
      </c>
      <c r="F29" s="52" t="s">
        <v>93</v>
      </c>
      <c r="G29" s="52">
        <v>128</v>
      </c>
    </row>
    <row r="30" spans="1:7" ht="20" customHeight="1" x14ac:dyDescent="0.2">
      <c r="A30" s="52" t="s">
        <v>84</v>
      </c>
      <c r="B30" s="53">
        <v>0.57899999999999996</v>
      </c>
      <c r="C30" s="52" t="s">
        <v>201</v>
      </c>
      <c r="D30" s="52" t="s">
        <v>257</v>
      </c>
      <c r="E30" s="52" t="s">
        <v>89</v>
      </c>
      <c r="F30" s="52" t="s">
        <v>84</v>
      </c>
      <c r="G30" s="52">
        <v>129</v>
      </c>
    </row>
    <row r="31" spans="1:7" ht="20" customHeight="1" x14ac:dyDescent="0.2">
      <c r="A31" s="52" t="s">
        <v>81</v>
      </c>
      <c r="B31" s="53">
        <v>0.59499999999999997</v>
      </c>
      <c r="C31" s="52" t="s">
        <v>201</v>
      </c>
      <c r="D31" s="52" t="s">
        <v>258</v>
      </c>
      <c r="E31" s="52" t="s">
        <v>81</v>
      </c>
      <c r="F31" s="52" t="s">
        <v>94</v>
      </c>
      <c r="G31" s="52">
        <v>130</v>
      </c>
    </row>
    <row r="32" spans="1:7" ht="20" customHeight="1" x14ac:dyDescent="0.2">
      <c r="A32" s="52" t="s">
        <v>88</v>
      </c>
      <c r="B32" s="53">
        <v>0.60499999999999998</v>
      </c>
      <c r="C32" s="52" t="s">
        <v>201</v>
      </c>
      <c r="D32" s="52" t="s">
        <v>259</v>
      </c>
      <c r="E32" s="52" t="s">
        <v>88</v>
      </c>
      <c r="F32" s="52" t="s">
        <v>85</v>
      </c>
      <c r="G32" s="52">
        <v>131</v>
      </c>
    </row>
    <row r="33" spans="1:7" ht="20" customHeight="1" x14ac:dyDescent="0.2">
      <c r="A33" s="52" t="s">
        <v>80</v>
      </c>
      <c r="B33" s="53">
        <v>0.61199999999999999</v>
      </c>
      <c r="C33" s="52" t="s">
        <v>201</v>
      </c>
      <c r="D33" s="52" t="s">
        <v>260</v>
      </c>
      <c r="E33" s="52" t="s">
        <v>80</v>
      </c>
      <c r="F33" s="52" t="s">
        <v>95</v>
      </c>
      <c r="G33" s="52">
        <v>132</v>
      </c>
    </row>
    <row r="34" spans="1:7" ht="20" customHeight="1" x14ac:dyDescent="0.2">
      <c r="A34" s="52" t="s">
        <v>30</v>
      </c>
      <c r="B34" s="53">
        <v>0.51100000000000001</v>
      </c>
      <c r="C34" s="52" t="s">
        <v>202</v>
      </c>
      <c r="D34" s="52" t="s">
        <v>261</v>
      </c>
      <c r="E34" s="52" t="s">
        <v>21</v>
      </c>
      <c r="F34" s="52" t="s">
        <v>30</v>
      </c>
      <c r="G34" s="52">
        <v>201</v>
      </c>
    </row>
    <row r="35" spans="1:7" ht="20" customHeight="1" x14ac:dyDescent="0.2">
      <c r="A35" s="52" t="s">
        <v>27</v>
      </c>
      <c r="B35" s="53">
        <v>0.56599999999999995</v>
      </c>
      <c r="C35" s="52" t="s">
        <v>202</v>
      </c>
      <c r="D35" s="52" t="s">
        <v>262</v>
      </c>
      <c r="E35" s="52" t="s">
        <v>27</v>
      </c>
      <c r="F35" s="52" t="s">
        <v>35</v>
      </c>
      <c r="G35" s="52">
        <v>202</v>
      </c>
    </row>
    <row r="36" spans="1:7" ht="20" customHeight="1" x14ac:dyDescent="0.2">
      <c r="A36" s="52" t="s">
        <v>33</v>
      </c>
      <c r="B36" s="53">
        <v>0.51100000000000001</v>
      </c>
      <c r="C36" s="52" t="s">
        <v>202</v>
      </c>
      <c r="D36" s="52" t="s">
        <v>263</v>
      </c>
      <c r="E36" s="52" t="s">
        <v>33</v>
      </c>
      <c r="F36" s="52" t="s">
        <v>25</v>
      </c>
      <c r="G36" s="52">
        <v>203</v>
      </c>
    </row>
    <row r="37" spans="1:7" ht="20" customHeight="1" x14ac:dyDescent="0.2">
      <c r="A37" s="52" t="s">
        <v>29</v>
      </c>
      <c r="B37" s="53">
        <v>0.57599999999999996</v>
      </c>
      <c r="C37" s="52" t="s">
        <v>202</v>
      </c>
      <c r="D37" s="52" t="s">
        <v>264</v>
      </c>
      <c r="E37" s="52" t="s">
        <v>29</v>
      </c>
      <c r="F37" s="52" t="s">
        <v>24</v>
      </c>
      <c r="G37" s="52">
        <v>204</v>
      </c>
    </row>
    <row r="38" spans="1:7" ht="20" customHeight="1" x14ac:dyDescent="0.2">
      <c r="A38" s="52" t="s">
        <v>39</v>
      </c>
      <c r="B38" s="53">
        <v>0.56499999999999995</v>
      </c>
      <c r="C38" s="52" t="s">
        <v>202</v>
      </c>
      <c r="D38" s="52" t="s">
        <v>265</v>
      </c>
      <c r="E38" s="52" t="s">
        <v>39</v>
      </c>
      <c r="F38" s="52" t="s">
        <v>48</v>
      </c>
      <c r="G38" s="52">
        <v>205</v>
      </c>
    </row>
    <row r="39" spans="1:7" ht="20" customHeight="1" x14ac:dyDescent="0.2">
      <c r="A39" s="52" t="s">
        <v>43</v>
      </c>
      <c r="B39" s="53">
        <v>0.50600000000000001</v>
      </c>
      <c r="C39" s="52" t="s">
        <v>202</v>
      </c>
      <c r="D39" s="52" t="s">
        <v>266</v>
      </c>
      <c r="E39" s="52" t="s">
        <v>44</v>
      </c>
      <c r="F39" s="52" t="s">
        <v>43</v>
      </c>
      <c r="G39" s="52">
        <v>206</v>
      </c>
    </row>
    <row r="40" spans="1:7" ht="20" customHeight="1" x14ac:dyDescent="0.2">
      <c r="A40" s="52" t="s">
        <v>45</v>
      </c>
      <c r="B40" s="53">
        <v>0.52400000000000002</v>
      </c>
      <c r="C40" s="52" t="s">
        <v>202</v>
      </c>
      <c r="D40" s="52" t="s">
        <v>267</v>
      </c>
      <c r="E40" s="52" t="s">
        <v>45</v>
      </c>
      <c r="F40" s="52" t="s">
        <v>42</v>
      </c>
      <c r="G40" s="52">
        <v>207</v>
      </c>
    </row>
    <row r="41" spans="1:7" ht="20" customHeight="1" x14ac:dyDescent="0.2">
      <c r="A41" s="52" t="s">
        <v>41</v>
      </c>
      <c r="B41" s="53">
        <v>0.55500000000000005</v>
      </c>
      <c r="C41" s="52" t="s">
        <v>202</v>
      </c>
      <c r="D41" s="52" t="s">
        <v>268</v>
      </c>
      <c r="E41" s="52" t="s">
        <v>46</v>
      </c>
      <c r="F41" s="52" t="s">
        <v>41</v>
      </c>
      <c r="G41" s="52">
        <v>208</v>
      </c>
    </row>
    <row r="42" spans="1:7" ht="20" customHeight="1" x14ac:dyDescent="0.2">
      <c r="A42" s="52" t="s">
        <v>59</v>
      </c>
      <c r="B42" s="53">
        <v>0.52200000000000002</v>
      </c>
      <c r="C42" s="52" t="s">
        <v>202</v>
      </c>
      <c r="D42" s="52" t="s">
        <v>269</v>
      </c>
      <c r="E42" s="52" t="s">
        <v>59</v>
      </c>
      <c r="F42" s="52" t="s">
        <v>68</v>
      </c>
      <c r="G42" s="52">
        <v>209</v>
      </c>
    </row>
    <row r="43" spans="1:7" ht="20" customHeight="1" x14ac:dyDescent="0.2">
      <c r="A43" s="52" t="s">
        <v>64</v>
      </c>
      <c r="B43" s="53">
        <v>0.58799999999999997</v>
      </c>
      <c r="C43" s="52" t="s">
        <v>202</v>
      </c>
      <c r="D43" s="52" t="s">
        <v>270</v>
      </c>
      <c r="E43" s="52" t="s">
        <v>64</v>
      </c>
      <c r="F43" s="52" t="s">
        <v>72</v>
      </c>
      <c r="G43" s="52">
        <v>210</v>
      </c>
    </row>
    <row r="44" spans="1:7" ht="20" customHeight="1" x14ac:dyDescent="0.2">
      <c r="A44" s="52" t="s">
        <v>70</v>
      </c>
      <c r="B44" s="53">
        <v>0.51800000000000002</v>
      </c>
      <c r="C44" s="52" t="s">
        <v>202</v>
      </c>
      <c r="D44" s="52" t="s">
        <v>271</v>
      </c>
      <c r="E44" s="52" t="s">
        <v>70</v>
      </c>
      <c r="F44" s="52" t="s">
        <v>62</v>
      </c>
      <c r="G44" s="52">
        <v>211</v>
      </c>
    </row>
    <row r="45" spans="1:7" ht="20" customHeight="1" x14ac:dyDescent="0.2">
      <c r="A45" s="52" t="s">
        <v>61</v>
      </c>
      <c r="B45" s="53">
        <v>0.55900000000000005</v>
      </c>
      <c r="C45" s="52" t="s">
        <v>202</v>
      </c>
      <c r="D45" s="52" t="s">
        <v>272</v>
      </c>
      <c r="E45" s="52" t="s">
        <v>66</v>
      </c>
      <c r="F45" s="52" t="s">
        <v>61</v>
      </c>
      <c r="G45" s="52">
        <v>212</v>
      </c>
    </row>
    <row r="46" spans="1:7" ht="20" customHeight="1" x14ac:dyDescent="0.2">
      <c r="A46" s="52" t="s">
        <v>86</v>
      </c>
      <c r="B46" s="53">
        <v>0.50800000000000001</v>
      </c>
      <c r="C46" s="52" t="s">
        <v>202</v>
      </c>
      <c r="D46" s="52" t="s">
        <v>273</v>
      </c>
      <c r="E46" s="52" t="s">
        <v>78</v>
      </c>
      <c r="F46" s="52" t="s">
        <v>86</v>
      </c>
      <c r="G46" s="52">
        <v>213</v>
      </c>
    </row>
    <row r="47" spans="1:7" ht="20" customHeight="1" x14ac:dyDescent="0.2">
      <c r="A47" s="52" t="s">
        <v>92</v>
      </c>
      <c r="B47" s="53">
        <v>0.51900000000000002</v>
      </c>
      <c r="C47" s="52" t="s">
        <v>202</v>
      </c>
      <c r="D47" s="52" t="s">
        <v>274</v>
      </c>
      <c r="E47" s="52" t="s">
        <v>92</v>
      </c>
      <c r="F47" s="52" t="s">
        <v>82</v>
      </c>
      <c r="G47" s="52">
        <v>214</v>
      </c>
    </row>
    <row r="48" spans="1:7" ht="20" customHeight="1" x14ac:dyDescent="0.2">
      <c r="A48" s="52" t="s">
        <v>81</v>
      </c>
      <c r="B48" s="53">
        <v>0.52400000000000002</v>
      </c>
      <c r="C48" s="52" t="s">
        <v>202</v>
      </c>
      <c r="D48" s="52" t="s">
        <v>275</v>
      </c>
      <c r="E48" s="52" t="s">
        <v>84</v>
      </c>
      <c r="F48" s="52" t="s">
        <v>81</v>
      </c>
      <c r="G48" s="52">
        <v>215</v>
      </c>
    </row>
    <row r="49" spans="1:7" ht="20" customHeight="1" x14ac:dyDescent="0.2">
      <c r="A49" s="52" t="s">
        <v>80</v>
      </c>
      <c r="B49" s="53">
        <v>0.56599999999999995</v>
      </c>
      <c r="C49" s="52" t="s">
        <v>202</v>
      </c>
      <c r="D49" s="52" t="s">
        <v>276</v>
      </c>
      <c r="E49" s="52" t="s">
        <v>88</v>
      </c>
      <c r="F49" s="52" t="s">
        <v>80</v>
      </c>
      <c r="G49" s="52">
        <v>216</v>
      </c>
    </row>
    <row r="50" spans="1:7" ht="20" customHeight="1" x14ac:dyDescent="0.2">
      <c r="A50" s="52" t="s">
        <v>24</v>
      </c>
      <c r="B50" s="53">
        <v>0.51900000000000002</v>
      </c>
      <c r="C50" s="52" t="s">
        <v>211</v>
      </c>
      <c r="D50" s="52" t="s">
        <v>277</v>
      </c>
      <c r="E50" s="52" t="s">
        <v>35</v>
      </c>
      <c r="F50" s="52" t="s">
        <v>24</v>
      </c>
      <c r="G50" s="52">
        <v>301</v>
      </c>
    </row>
    <row r="51" spans="1:7" ht="20" customHeight="1" x14ac:dyDescent="0.2">
      <c r="A51" s="52" t="s">
        <v>41</v>
      </c>
      <c r="B51" s="53">
        <v>0.53900000000000003</v>
      </c>
      <c r="C51" s="52" t="s">
        <v>211</v>
      </c>
      <c r="D51" s="52" t="s">
        <v>278</v>
      </c>
      <c r="E51" s="52" t="s">
        <v>43</v>
      </c>
      <c r="F51" s="52" t="s">
        <v>41</v>
      </c>
      <c r="G51" s="52">
        <v>302</v>
      </c>
    </row>
    <row r="52" spans="1:7" ht="20" customHeight="1" x14ac:dyDescent="0.2">
      <c r="A52" s="52" t="s">
        <v>61</v>
      </c>
      <c r="B52" s="53">
        <v>0.57699999999999996</v>
      </c>
      <c r="C52" s="52" t="s">
        <v>211</v>
      </c>
      <c r="D52" s="52" t="s">
        <v>279</v>
      </c>
      <c r="E52" s="52" t="s">
        <v>72</v>
      </c>
      <c r="F52" s="52" t="s">
        <v>61</v>
      </c>
      <c r="G52" s="52">
        <v>303</v>
      </c>
    </row>
    <row r="53" spans="1:7" ht="20" customHeight="1" x14ac:dyDescent="0.2">
      <c r="A53" s="52" t="s">
        <v>80</v>
      </c>
      <c r="B53" s="53">
        <v>0.64100000000000001</v>
      </c>
      <c r="C53" s="52" t="s">
        <v>211</v>
      </c>
      <c r="D53" s="52" t="s">
        <v>280</v>
      </c>
      <c r="E53" s="52" t="s">
        <v>82</v>
      </c>
      <c r="F53" s="52" t="s">
        <v>80</v>
      </c>
      <c r="G53" s="52">
        <v>304</v>
      </c>
    </row>
    <row r="54" spans="1:7" ht="20" customHeight="1" x14ac:dyDescent="0.2">
      <c r="A54" s="52" t="s">
        <v>43</v>
      </c>
      <c r="B54" s="53">
        <v>0.56499999999999995</v>
      </c>
      <c r="C54" s="52" t="s">
        <v>211</v>
      </c>
      <c r="D54" s="52" t="s">
        <v>281</v>
      </c>
      <c r="E54" s="52" t="s">
        <v>35</v>
      </c>
      <c r="F54" s="52" t="s">
        <v>43</v>
      </c>
      <c r="G54" s="52">
        <v>305</v>
      </c>
    </row>
    <row r="55" spans="1:7" ht="20" customHeight="1" x14ac:dyDescent="0.2">
      <c r="A55" s="52" t="s">
        <v>41</v>
      </c>
      <c r="B55" s="53">
        <v>0.58499999999999996</v>
      </c>
      <c r="C55" s="52" t="s">
        <v>211</v>
      </c>
      <c r="D55" s="52" t="s">
        <v>282</v>
      </c>
      <c r="E55" s="52" t="s">
        <v>24</v>
      </c>
      <c r="F55" s="52" t="s">
        <v>41</v>
      </c>
      <c r="G55" s="52">
        <v>306</v>
      </c>
    </row>
    <row r="56" spans="1:7" ht="20" customHeight="1" x14ac:dyDescent="0.2">
      <c r="A56" s="52" t="s">
        <v>82</v>
      </c>
      <c r="B56" s="53">
        <v>0.51500000000000001</v>
      </c>
      <c r="C56" s="52" t="s">
        <v>211</v>
      </c>
      <c r="D56" s="52" t="s">
        <v>283</v>
      </c>
      <c r="E56" s="52" t="s">
        <v>72</v>
      </c>
      <c r="F56" s="52" t="s">
        <v>82</v>
      </c>
      <c r="G56" s="52">
        <v>307</v>
      </c>
    </row>
    <row r="57" spans="1:7" ht="20" customHeight="1" x14ac:dyDescent="0.2">
      <c r="A57" s="52" t="s">
        <v>80</v>
      </c>
      <c r="B57" s="53">
        <v>0.57899999999999996</v>
      </c>
      <c r="C57" s="52" t="s">
        <v>211</v>
      </c>
      <c r="D57" s="52" t="s">
        <v>284</v>
      </c>
      <c r="E57" s="52" t="s">
        <v>61</v>
      </c>
      <c r="F57" s="52" t="s">
        <v>80</v>
      </c>
      <c r="G57" s="52">
        <v>308</v>
      </c>
    </row>
    <row r="58" spans="1:7" ht="20" customHeight="1" x14ac:dyDescent="0.2">
      <c r="A58" s="52" t="s">
        <v>29</v>
      </c>
      <c r="B58" s="53">
        <v>0.51600000000000001</v>
      </c>
      <c r="C58" s="52" t="s">
        <v>216</v>
      </c>
      <c r="D58" s="52" t="s">
        <v>285</v>
      </c>
      <c r="E58" s="52" t="s">
        <v>30</v>
      </c>
      <c r="F58" s="52" t="s">
        <v>29</v>
      </c>
      <c r="G58" s="52">
        <v>401</v>
      </c>
    </row>
    <row r="59" spans="1:7" ht="20" customHeight="1" x14ac:dyDescent="0.2">
      <c r="A59" s="52" t="s">
        <v>39</v>
      </c>
      <c r="B59" s="53">
        <v>0.51</v>
      </c>
      <c r="C59" s="52" t="s">
        <v>216</v>
      </c>
      <c r="D59" s="52" t="s">
        <v>286</v>
      </c>
      <c r="E59" s="52" t="s">
        <v>39</v>
      </c>
      <c r="F59" s="52" t="s">
        <v>41</v>
      </c>
      <c r="G59" s="52">
        <v>402</v>
      </c>
    </row>
    <row r="60" spans="1:7" ht="20" customHeight="1" x14ac:dyDescent="0.2">
      <c r="A60" s="52" t="s">
        <v>64</v>
      </c>
      <c r="B60" s="53">
        <v>0.51100000000000001</v>
      </c>
      <c r="C60" s="52" t="s">
        <v>216</v>
      </c>
      <c r="D60" s="52" t="s">
        <v>287</v>
      </c>
      <c r="E60" s="52" t="s">
        <v>64</v>
      </c>
      <c r="F60" s="52" t="s">
        <v>61</v>
      </c>
      <c r="G60" s="52">
        <v>403</v>
      </c>
    </row>
    <row r="61" spans="1:7" ht="20" customHeight="1" x14ac:dyDescent="0.2">
      <c r="A61" s="52" t="s">
        <v>80</v>
      </c>
      <c r="B61" s="53">
        <v>0.60899999999999999</v>
      </c>
      <c r="C61" s="52" t="s">
        <v>216</v>
      </c>
      <c r="D61" s="52" t="s">
        <v>288</v>
      </c>
      <c r="E61" s="52" t="s">
        <v>86</v>
      </c>
      <c r="F61" s="52" t="s">
        <v>80</v>
      </c>
      <c r="G61" s="52">
        <v>404</v>
      </c>
    </row>
    <row r="62" spans="1:7" ht="20" customHeight="1" x14ac:dyDescent="0.2">
      <c r="A62" s="52" t="s">
        <v>29</v>
      </c>
      <c r="B62" s="53">
        <v>0.51500000000000001</v>
      </c>
      <c r="C62" s="52" t="s">
        <v>219</v>
      </c>
      <c r="D62" s="52" t="s">
        <v>289</v>
      </c>
      <c r="E62" s="52" t="s">
        <v>29</v>
      </c>
      <c r="F62" s="52" t="s">
        <v>64</v>
      </c>
      <c r="G62" s="52">
        <v>501</v>
      </c>
    </row>
    <row r="63" spans="1:7" ht="20" customHeight="1" x14ac:dyDescent="0.2">
      <c r="A63" s="52" t="s">
        <v>80</v>
      </c>
      <c r="B63" s="53">
        <v>0.53400000000000003</v>
      </c>
      <c r="C63" s="52" t="s">
        <v>219</v>
      </c>
      <c r="D63" s="52" t="s">
        <v>290</v>
      </c>
      <c r="E63" s="52" t="s">
        <v>39</v>
      </c>
      <c r="F63" s="52" t="s">
        <v>80</v>
      </c>
      <c r="G63" s="52">
        <v>502</v>
      </c>
    </row>
    <row r="64" spans="1:7" ht="20" customHeight="1" x14ac:dyDescent="0.2">
      <c r="A64" s="52" t="s">
        <v>80</v>
      </c>
      <c r="B64" s="53">
        <v>0.55300000000000005</v>
      </c>
      <c r="C64" s="52" t="s">
        <v>223</v>
      </c>
      <c r="D64" s="52" t="s">
        <v>291</v>
      </c>
      <c r="E64" s="52" t="s">
        <v>29</v>
      </c>
      <c r="F64" s="52" t="s">
        <v>80</v>
      </c>
      <c r="G64" s="52">
        <v>601</v>
      </c>
    </row>
    <row r="65" spans="1:7" ht="20" customHeight="1" x14ac:dyDescent="0.2">
      <c r="A65" s="3"/>
      <c r="B65" s="3"/>
      <c r="C65" s="3"/>
      <c r="D65" s="3"/>
      <c r="E65" s="3"/>
      <c r="F65" s="3"/>
      <c r="G65" s="3"/>
    </row>
    <row r="66" spans="1:7" ht="20" customHeight="1" x14ac:dyDescent="0.2">
      <c r="A66" s="3"/>
      <c r="B66" s="3"/>
      <c r="C66" s="3"/>
      <c r="D66" s="3"/>
      <c r="E66" s="3"/>
      <c r="F66" s="3"/>
      <c r="G66" s="3"/>
    </row>
    <row r="67" spans="1:7" ht="20" customHeight="1" x14ac:dyDescent="0.2">
      <c r="A67" s="3"/>
      <c r="B67" s="3"/>
      <c r="C67" s="3"/>
      <c r="D67" s="3"/>
      <c r="E67" s="3"/>
      <c r="F67" s="3"/>
      <c r="G67" s="3"/>
    </row>
    <row r="68" spans="1:7" ht="20" customHeight="1" x14ac:dyDescent="0.2">
      <c r="A68" s="3"/>
      <c r="B68" s="3"/>
      <c r="C68" s="3"/>
      <c r="D68" s="3"/>
      <c r="E68" s="3"/>
      <c r="F68" s="3"/>
      <c r="G68" s="3"/>
    </row>
    <row r="69" spans="1:7" ht="20" customHeight="1" x14ac:dyDescent="0.2">
      <c r="A69" s="3"/>
      <c r="B69" s="3"/>
      <c r="C69" s="3"/>
      <c r="D69" s="3"/>
      <c r="E69" s="3"/>
      <c r="F69" s="3"/>
      <c r="G69" s="3"/>
    </row>
    <row r="70" spans="1:7" ht="20" customHeight="1" x14ac:dyDescent="0.2">
      <c r="A70" s="3"/>
      <c r="B70" s="3"/>
      <c r="C70" s="3"/>
      <c r="D70" s="3"/>
      <c r="E70" s="3"/>
      <c r="F70" s="3"/>
      <c r="G70" s="3"/>
    </row>
    <row r="71" spans="1:7" ht="20" customHeight="1" x14ac:dyDescent="0.2">
      <c r="A71" s="3"/>
      <c r="B71" s="3"/>
      <c r="C71" s="3"/>
      <c r="D71" s="3"/>
      <c r="E71" s="3"/>
      <c r="F71" s="3"/>
      <c r="G71" s="3"/>
    </row>
    <row r="72" spans="1:7" ht="20" customHeight="1" x14ac:dyDescent="0.2">
      <c r="A72" s="3"/>
      <c r="B72" s="3"/>
      <c r="C72" s="3"/>
      <c r="D72" s="3"/>
      <c r="E72" s="3"/>
      <c r="F72" s="3"/>
      <c r="G72" s="3"/>
    </row>
    <row r="73" spans="1:7" ht="20" customHeight="1" x14ac:dyDescent="0.2">
      <c r="A73" s="3"/>
      <c r="B73" s="3"/>
      <c r="C73" s="3"/>
      <c r="D73" s="3"/>
      <c r="E73" s="3"/>
      <c r="F73" s="3"/>
      <c r="G73" s="3"/>
    </row>
    <row r="74" spans="1:7" ht="20" customHeight="1" x14ac:dyDescent="0.2">
      <c r="A74" s="3"/>
      <c r="B74" s="3"/>
      <c r="C74" s="3"/>
      <c r="D74" s="3"/>
      <c r="E74" s="3"/>
      <c r="F74" s="3"/>
      <c r="G74" s="3"/>
    </row>
    <row r="75" spans="1:7" ht="20" customHeight="1" x14ac:dyDescent="0.2">
      <c r="A75" s="3"/>
      <c r="B75" s="3"/>
      <c r="C75" s="3"/>
      <c r="D75" s="3"/>
      <c r="E75" s="3"/>
      <c r="F75" s="3"/>
      <c r="G75" s="3"/>
    </row>
    <row r="76" spans="1:7" ht="20" customHeight="1" x14ac:dyDescent="0.2">
      <c r="A76" s="3"/>
      <c r="B76" s="3"/>
      <c r="C76" s="3"/>
      <c r="D76" s="3"/>
      <c r="E76" s="3"/>
      <c r="F76" s="3"/>
      <c r="G76" s="3"/>
    </row>
    <row r="77" spans="1:7" ht="20" customHeight="1" x14ac:dyDescent="0.2">
      <c r="A77" s="3"/>
      <c r="B77" s="3"/>
      <c r="C77" s="3"/>
      <c r="D77" s="3"/>
      <c r="E77" s="3"/>
      <c r="F77" s="3"/>
      <c r="G77" s="3"/>
    </row>
    <row r="78" spans="1:7" ht="20" customHeight="1" x14ac:dyDescent="0.2">
      <c r="A78" s="3"/>
      <c r="B78" s="3"/>
      <c r="C78" s="3"/>
      <c r="D78" s="3"/>
      <c r="E78" s="3"/>
      <c r="F78" s="3"/>
      <c r="G78" s="3"/>
    </row>
    <row r="79" spans="1:7" ht="20" customHeight="1" x14ac:dyDescent="0.2">
      <c r="A79" s="3"/>
      <c r="B79" s="3"/>
      <c r="C79" s="3"/>
      <c r="D79" s="3"/>
      <c r="E79" s="3"/>
      <c r="F79" s="3"/>
      <c r="G79" s="3"/>
    </row>
    <row r="80" spans="1:7" ht="20" customHeight="1" x14ac:dyDescent="0.2">
      <c r="A80" s="3"/>
      <c r="B80" s="3"/>
      <c r="C80" s="3"/>
      <c r="D80" s="3"/>
      <c r="E80" s="3"/>
      <c r="F80" s="3"/>
      <c r="G80" s="3"/>
    </row>
    <row r="81" spans="1:7" ht="20" customHeight="1" x14ac:dyDescent="0.2">
      <c r="A81" s="3"/>
      <c r="B81" s="3"/>
      <c r="C81" s="3"/>
      <c r="D81" s="3"/>
      <c r="E81" s="3"/>
      <c r="F81" s="3"/>
      <c r="G81" s="3"/>
    </row>
    <row r="82" spans="1:7" ht="20" customHeight="1" x14ac:dyDescent="0.2">
      <c r="A82" s="3"/>
      <c r="B82" s="3"/>
      <c r="C82" s="3"/>
      <c r="D82" s="3"/>
      <c r="E82" s="3"/>
      <c r="F82" s="3"/>
      <c r="G82" s="3"/>
    </row>
    <row r="83" spans="1:7" ht="20" customHeight="1" x14ac:dyDescent="0.2">
      <c r="A83" s="3"/>
      <c r="B83" s="3"/>
      <c r="C83" s="3"/>
      <c r="D83" s="3"/>
      <c r="E83" s="3"/>
      <c r="F83" s="3"/>
      <c r="G83" s="3"/>
    </row>
    <row r="84" spans="1:7" ht="20" customHeight="1" x14ac:dyDescent="0.2">
      <c r="A84" s="3"/>
      <c r="B84" s="3"/>
      <c r="C84" s="3"/>
      <c r="D84" s="3"/>
      <c r="E84" s="3"/>
      <c r="F84" s="3"/>
      <c r="G84" s="3"/>
    </row>
    <row r="85" spans="1:7" ht="20" customHeight="1" x14ac:dyDescent="0.2">
      <c r="A85" s="3"/>
      <c r="B85" s="3"/>
      <c r="C85" s="3"/>
      <c r="D85" s="3"/>
      <c r="E85" s="3"/>
      <c r="F85" s="3"/>
      <c r="G85" s="3"/>
    </row>
    <row r="86" spans="1:7" ht="20" customHeight="1" x14ac:dyDescent="0.2">
      <c r="A86" s="3"/>
      <c r="B86" s="3"/>
      <c r="C86" s="3"/>
      <c r="D86" s="3"/>
      <c r="E86" s="3"/>
      <c r="F86" s="3"/>
      <c r="G86" s="3"/>
    </row>
    <row r="87" spans="1:7" ht="20" customHeight="1" x14ac:dyDescent="0.2">
      <c r="A87" s="3"/>
      <c r="B87" s="3"/>
      <c r="C87" s="3"/>
      <c r="D87" s="3"/>
      <c r="E87" s="3"/>
      <c r="F87" s="3"/>
      <c r="G87" s="3"/>
    </row>
    <row r="88" spans="1:7" ht="20" customHeight="1" x14ac:dyDescent="0.2">
      <c r="A88" s="3"/>
      <c r="B88" s="3"/>
      <c r="C88" s="3"/>
      <c r="D88" s="3"/>
      <c r="E88" s="3"/>
      <c r="F88" s="3"/>
      <c r="G88" s="3"/>
    </row>
    <row r="89" spans="1:7" ht="20" customHeight="1" x14ac:dyDescent="0.2">
      <c r="A89" s="3"/>
      <c r="B89" s="3"/>
      <c r="C89" s="3"/>
      <c r="D89" s="3"/>
      <c r="E89" s="3"/>
      <c r="F89" s="3"/>
      <c r="G89" s="3"/>
    </row>
    <row r="90" spans="1:7" ht="20" customHeight="1" x14ac:dyDescent="0.2">
      <c r="A90" s="3"/>
      <c r="B90" s="3"/>
      <c r="C90" s="3"/>
      <c r="D90" s="3"/>
      <c r="E90" s="3"/>
      <c r="F90" s="3"/>
      <c r="G90" s="3"/>
    </row>
    <row r="91" spans="1:7" ht="20" customHeight="1" x14ac:dyDescent="0.2">
      <c r="A91" s="3"/>
      <c r="B91" s="3"/>
      <c r="C91" s="3"/>
      <c r="D91" s="3"/>
      <c r="E91" s="3"/>
      <c r="F91" s="3"/>
      <c r="G91" s="3"/>
    </row>
    <row r="92" spans="1:7" ht="20" customHeight="1" x14ac:dyDescent="0.2">
      <c r="A92" s="3"/>
      <c r="B92" s="3"/>
      <c r="C92" s="3"/>
      <c r="D92" s="3"/>
      <c r="E92" s="3"/>
      <c r="F92" s="3"/>
      <c r="G92" s="3"/>
    </row>
    <row r="93" spans="1:7" ht="20" customHeight="1" x14ac:dyDescent="0.2">
      <c r="A93" s="3"/>
      <c r="B93" s="3"/>
      <c r="C93" s="3"/>
      <c r="D93" s="3"/>
      <c r="E93" s="3"/>
      <c r="F93" s="3"/>
      <c r="G93" s="3"/>
    </row>
    <row r="94" spans="1:7" ht="20" customHeight="1" x14ac:dyDescent="0.2">
      <c r="A94" s="3"/>
      <c r="B94" s="3"/>
      <c r="C94" s="3"/>
      <c r="D94" s="3"/>
      <c r="E94" s="3"/>
      <c r="F94" s="3"/>
      <c r="G94" s="3"/>
    </row>
    <row r="95" spans="1:7" ht="20" customHeight="1" x14ac:dyDescent="0.2">
      <c r="A95" s="3"/>
      <c r="B95" s="3"/>
      <c r="C95" s="3"/>
      <c r="D95" s="3"/>
      <c r="E95" s="3"/>
      <c r="F95" s="3"/>
      <c r="G95" s="3"/>
    </row>
    <row r="96" spans="1:7" ht="20" customHeight="1" x14ac:dyDescent="0.2">
      <c r="A96" s="3"/>
      <c r="B96" s="3"/>
      <c r="C96" s="3"/>
      <c r="D96" s="3"/>
      <c r="E96" s="3"/>
      <c r="F96" s="3"/>
      <c r="G96" s="3"/>
    </row>
    <row r="97" spans="1:7" ht="20" customHeight="1" x14ac:dyDescent="0.2">
      <c r="A97" s="3"/>
      <c r="B97" s="3"/>
      <c r="C97" s="3"/>
      <c r="D97" s="3"/>
      <c r="E97" s="3"/>
      <c r="F97" s="3"/>
      <c r="G97" s="3"/>
    </row>
    <row r="98" spans="1:7" ht="20" customHeight="1" x14ac:dyDescent="0.2">
      <c r="A98" s="3"/>
      <c r="B98" s="3"/>
      <c r="C98" s="3"/>
      <c r="D98" s="3"/>
      <c r="E98" s="3"/>
      <c r="F98" s="3"/>
      <c r="G98" s="3"/>
    </row>
    <row r="99" spans="1:7" ht="20" customHeight="1" x14ac:dyDescent="0.2">
      <c r="A99" s="3"/>
      <c r="B99" s="3"/>
      <c r="C99" s="3"/>
      <c r="D99" s="3"/>
      <c r="E99" s="3"/>
      <c r="F99" s="3"/>
      <c r="G99" s="3"/>
    </row>
    <row r="100" spans="1:7" ht="20" customHeight="1" x14ac:dyDescent="0.2">
      <c r="A100" s="3"/>
      <c r="B100" s="3"/>
      <c r="C100" s="3"/>
      <c r="D100" s="3"/>
      <c r="E100" s="3"/>
      <c r="F100" s="3"/>
      <c r="G100" s="3"/>
    </row>
    <row r="101" spans="1:7" ht="20" customHeight="1" x14ac:dyDescent="0.2">
      <c r="A101" s="3"/>
      <c r="B101" s="3"/>
      <c r="C101" s="3"/>
      <c r="D101" s="3"/>
      <c r="E101" s="3"/>
      <c r="F101" s="3"/>
      <c r="G101" s="3"/>
    </row>
    <row r="102" spans="1:7" ht="20" customHeight="1" x14ac:dyDescent="0.2">
      <c r="A102" s="3"/>
      <c r="B102" s="3"/>
      <c r="C102" s="3"/>
      <c r="D102" s="3"/>
      <c r="E102" s="3"/>
      <c r="F102" s="3"/>
      <c r="G102" s="3"/>
    </row>
    <row r="103" spans="1:7" ht="20" customHeight="1" x14ac:dyDescent="0.2">
      <c r="A103" s="3"/>
      <c r="B103" s="3"/>
      <c r="C103" s="3"/>
      <c r="D103" s="3"/>
      <c r="E103" s="3"/>
      <c r="F103" s="3"/>
      <c r="G103" s="3"/>
    </row>
    <row r="104" spans="1:7" ht="20" customHeight="1" x14ac:dyDescent="0.2">
      <c r="A104" s="3"/>
      <c r="B104" s="3"/>
      <c r="C104" s="3"/>
      <c r="D104" s="3"/>
      <c r="E104" s="3"/>
      <c r="F104" s="3"/>
      <c r="G104" s="3"/>
    </row>
    <row r="105" spans="1:7" ht="20" customHeight="1" x14ac:dyDescent="0.2">
      <c r="A105" s="3"/>
      <c r="B105" s="3"/>
      <c r="C105" s="3"/>
      <c r="D105" s="3"/>
      <c r="E105" s="3"/>
      <c r="F105" s="3"/>
      <c r="G105" s="3"/>
    </row>
    <row r="106" spans="1:7" ht="20" customHeight="1" x14ac:dyDescent="0.2">
      <c r="A106" s="3"/>
      <c r="B106" s="3"/>
      <c r="C106" s="3"/>
      <c r="D106" s="3"/>
      <c r="E106" s="3"/>
      <c r="F106" s="3"/>
      <c r="G106" s="3"/>
    </row>
    <row r="107" spans="1:7" ht="20" customHeight="1" x14ac:dyDescent="0.2">
      <c r="A107" s="3"/>
      <c r="B107" s="3"/>
      <c r="C107" s="3"/>
      <c r="D107" s="3"/>
      <c r="E107" s="3"/>
      <c r="F107" s="3"/>
      <c r="G107" s="3"/>
    </row>
    <row r="108" spans="1:7" ht="20" customHeight="1" x14ac:dyDescent="0.2">
      <c r="A108" s="3"/>
      <c r="B108" s="3"/>
      <c r="C108" s="3"/>
      <c r="D108" s="3"/>
      <c r="E108" s="3"/>
      <c r="F108" s="3"/>
      <c r="G108" s="3"/>
    </row>
    <row r="109" spans="1:7" ht="20" customHeight="1" x14ac:dyDescent="0.2">
      <c r="A109" s="3"/>
      <c r="B109" s="3"/>
      <c r="C109" s="3"/>
      <c r="D109" s="3"/>
      <c r="E109" s="3"/>
      <c r="F109" s="3"/>
      <c r="G109" s="3"/>
    </row>
    <row r="110" spans="1:7" ht="20" customHeight="1" x14ac:dyDescent="0.2">
      <c r="A110" s="3"/>
      <c r="B110" s="3"/>
      <c r="C110" s="3"/>
      <c r="D110" s="3"/>
      <c r="E110" s="3"/>
      <c r="F110" s="3"/>
      <c r="G110" s="3"/>
    </row>
    <row r="111" spans="1:7" ht="20" customHeight="1" x14ac:dyDescent="0.2">
      <c r="A111" s="3"/>
      <c r="B111" s="3"/>
      <c r="C111" s="3"/>
      <c r="D111" s="3"/>
      <c r="E111" s="3"/>
      <c r="F111" s="3"/>
      <c r="G111" s="3"/>
    </row>
    <row r="112" spans="1:7" ht="20" customHeight="1" x14ac:dyDescent="0.2">
      <c r="A112" s="3"/>
      <c r="B112" s="3"/>
      <c r="C112" s="3"/>
      <c r="D112" s="3"/>
      <c r="E112" s="3"/>
      <c r="F112" s="3"/>
      <c r="G112" s="3"/>
    </row>
    <row r="113" spans="1:7" ht="20" customHeight="1" x14ac:dyDescent="0.2">
      <c r="A113" s="3"/>
      <c r="B113" s="3"/>
      <c r="C113" s="3"/>
      <c r="D113" s="3"/>
      <c r="E113" s="3"/>
      <c r="F113" s="3"/>
      <c r="G113" s="3"/>
    </row>
    <row r="114" spans="1:7" ht="20" customHeight="1" x14ac:dyDescent="0.2">
      <c r="A114" s="3"/>
      <c r="B114" s="3"/>
      <c r="C114" s="3"/>
      <c r="D114" s="3"/>
      <c r="E114" s="3"/>
      <c r="F114" s="3"/>
      <c r="G114" s="3"/>
    </row>
    <row r="115" spans="1:7" ht="20" customHeight="1" x14ac:dyDescent="0.2">
      <c r="A115" s="3"/>
      <c r="B115" s="3"/>
      <c r="C115" s="3"/>
      <c r="D115" s="3"/>
      <c r="E115" s="3"/>
      <c r="F115" s="3"/>
      <c r="G115" s="3"/>
    </row>
    <row r="116" spans="1:7" ht="20" customHeight="1" x14ac:dyDescent="0.2">
      <c r="A116" s="3"/>
      <c r="B116" s="3"/>
      <c r="C116" s="3"/>
      <c r="D116" s="3"/>
      <c r="E116" s="3"/>
      <c r="F116" s="3"/>
      <c r="G116" s="3"/>
    </row>
    <row r="117" spans="1:7" ht="20" customHeight="1" x14ac:dyDescent="0.2">
      <c r="A117" s="3"/>
      <c r="B117" s="3"/>
      <c r="C117" s="3"/>
      <c r="D117" s="3"/>
      <c r="E117" s="3"/>
      <c r="F117" s="3"/>
      <c r="G117" s="3"/>
    </row>
    <row r="118" spans="1:7" ht="20" customHeight="1" x14ac:dyDescent="0.2">
      <c r="A118" s="3"/>
      <c r="B118" s="3"/>
      <c r="C118" s="3"/>
      <c r="D118" s="3"/>
      <c r="E118" s="3"/>
      <c r="F118" s="3"/>
      <c r="G118" s="3"/>
    </row>
    <row r="119" spans="1:7" ht="20" customHeight="1" x14ac:dyDescent="0.2">
      <c r="A119" s="3"/>
      <c r="B119" s="3"/>
      <c r="C119" s="3"/>
      <c r="D119" s="3"/>
      <c r="E119" s="3"/>
      <c r="F119" s="3"/>
      <c r="G119" s="3"/>
    </row>
    <row r="120" spans="1:7" ht="20" customHeight="1" x14ac:dyDescent="0.2">
      <c r="A120" s="3"/>
      <c r="B120" s="3"/>
      <c r="C120" s="3"/>
      <c r="D120" s="3"/>
      <c r="E120" s="3"/>
      <c r="F120" s="3"/>
      <c r="G120" s="3"/>
    </row>
    <row r="121" spans="1:7" ht="20" customHeight="1" x14ac:dyDescent="0.2">
      <c r="A121" s="3"/>
      <c r="B121" s="3"/>
      <c r="C121" s="3"/>
      <c r="D121" s="3"/>
      <c r="E121" s="3"/>
      <c r="F121" s="3"/>
      <c r="G121" s="3"/>
    </row>
    <row r="122" spans="1:7" ht="20" customHeight="1" x14ac:dyDescent="0.2">
      <c r="A122" s="3"/>
      <c r="B122" s="3"/>
      <c r="C122" s="3"/>
      <c r="D122" s="3"/>
      <c r="E122" s="3"/>
      <c r="F122" s="3"/>
      <c r="G122" s="3"/>
    </row>
    <row r="123" spans="1:7" ht="20" customHeight="1" x14ac:dyDescent="0.2">
      <c r="A123" s="3"/>
      <c r="B123" s="3"/>
      <c r="C123" s="3"/>
      <c r="D123" s="3"/>
      <c r="E123" s="3"/>
      <c r="F123" s="3"/>
      <c r="G123" s="3"/>
    </row>
    <row r="124" spans="1:7" ht="20" customHeight="1" x14ac:dyDescent="0.2">
      <c r="A124" s="3"/>
      <c r="B124" s="3"/>
      <c r="C124" s="3"/>
      <c r="D124" s="3"/>
      <c r="E124" s="3"/>
      <c r="F124" s="3"/>
      <c r="G124" s="3"/>
    </row>
    <row r="125" spans="1:7" ht="20" customHeight="1" x14ac:dyDescent="0.2">
      <c r="A125" s="3"/>
      <c r="B125" s="3"/>
      <c r="C125" s="3"/>
      <c r="D125" s="3"/>
      <c r="E125" s="3"/>
      <c r="F125" s="3"/>
      <c r="G125" s="3"/>
    </row>
    <row r="126" spans="1:7" ht="20" customHeight="1" x14ac:dyDescent="0.2">
      <c r="A126" s="3"/>
      <c r="B126" s="3"/>
      <c r="C126" s="3"/>
      <c r="D126" s="3"/>
      <c r="E126" s="3"/>
      <c r="F126" s="3"/>
      <c r="G126" s="3"/>
    </row>
    <row r="127" spans="1:7" ht="20" customHeight="1" x14ac:dyDescent="0.2">
      <c r="A127" s="3"/>
      <c r="B127" s="3"/>
      <c r="C127" s="3"/>
      <c r="D127" s="3"/>
      <c r="E127" s="3"/>
      <c r="F127" s="3"/>
      <c r="G127" s="3"/>
    </row>
    <row r="128" spans="1:7" ht="20" customHeight="1" x14ac:dyDescent="0.2">
      <c r="A128" s="3"/>
      <c r="B128" s="3"/>
      <c r="C128" s="3"/>
      <c r="D128" s="3"/>
      <c r="E128" s="3"/>
      <c r="F128" s="3"/>
      <c r="G128" s="3"/>
    </row>
    <row r="129" spans="1:7" ht="20" customHeight="1" x14ac:dyDescent="0.2">
      <c r="A129" s="3"/>
      <c r="B129" s="3"/>
      <c r="C129" s="3"/>
      <c r="D129" s="3"/>
      <c r="E129" s="3"/>
      <c r="F129" s="3"/>
      <c r="G129" s="3"/>
    </row>
    <row r="130" spans="1:7" ht="20" customHeight="1" x14ac:dyDescent="0.2">
      <c r="A130" s="3"/>
      <c r="B130" s="3"/>
      <c r="C130" s="3"/>
      <c r="D130" s="3"/>
      <c r="E130" s="3"/>
      <c r="F130" s="3"/>
      <c r="G130" s="3"/>
    </row>
    <row r="131" spans="1:7" ht="20" customHeight="1" x14ac:dyDescent="0.2">
      <c r="A131" s="3"/>
      <c r="B131" s="3"/>
      <c r="C131" s="3"/>
      <c r="D131" s="3"/>
      <c r="E131" s="3"/>
      <c r="F131" s="3"/>
      <c r="G131" s="3"/>
    </row>
    <row r="132" spans="1:7" ht="20" customHeight="1" x14ac:dyDescent="0.2">
      <c r="A132" s="3"/>
      <c r="B132" s="3"/>
      <c r="C132" s="3"/>
      <c r="D132" s="3"/>
      <c r="E132" s="3"/>
      <c r="F132" s="3"/>
      <c r="G132" s="3"/>
    </row>
    <row r="133" spans="1:7" ht="20" customHeight="1" x14ac:dyDescent="0.2">
      <c r="A133" s="3"/>
      <c r="B133" s="3"/>
      <c r="C133" s="3"/>
      <c r="D133" s="3"/>
      <c r="E133" s="3"/>
      <c r="F133" s="3"/>
      <c r="G133" s="3"/>
    </row>
    <row r="134" spans="1:7" ht="20" customHeight="1" x14ac:dyDescent="0.2">
      <c r="A134" s="3"/>
      <c r="B134" s="3"/>
      <c r="C134" s="3"/>
      <c r="D134" s="3"/>
      <c r="E134" s="3"/>
      <c r="F134" s="3"/>
      <c r="G134" s="3"/>
    </row>
    <row r="135" spans="1:7" ht="20" customHeight="1" x14ac:dyDescent="0.2">
      <c r="A135" s="3"/>
      <c r="B135" s="3"/>
      <c r="C135" s="3"/>
      <c r="D135" s="3"/>
      <c r="E135" s="3"/>
      <c r="F135" s="3"/>
      <c r="G135" s="3"/>
    </row>
    <row r="136" spans="1:7" ht="20" customHeight="1" x14ac:dyDescent="0.2">
      <c r="A136" s="3"/>
      <c r="B136" s="3"/>
      <c r="C136" s="3"/>
      <c r="D136" s="3"/>
      <c r="E136" s="3"/>
      <c r="F136" s="3"/>
      <c r="G136" s="3"/>
    </row>
    <row r="137" spans="1:7" ht="20" customHeight="1" x14ac:dyDescent="0.2">
      <c r="A137" s="3"/>
      <c r="B137" s="3"/>
      <c r="C137" s="3"/>
      <c r="D137" s="3"/>
      <c r="E137" s="3"/>
      <c r="F137" s="3"/>
      <c r="G137" s="3"/>
    </row>
    <row r="138" spans="1:7" ht="20" customHeight="1" x14ac:dyDescent="0.2">
      <c r="A138" s="3"/>
      <c r="B138" s="3"/>
      <c r="C138" s="3"/>
      <c r="D138" s="3"/>
      <c r="E138" s="3"/>
      <c r="F138" s="3"/>
      <c r="G138" s="3"/>
    </row>
    <row r="139" spans="1:7" ht="20" customHeight="1" x14ac:dyDescent="0.2">
      <c r="A139" s="3"/>
      <c r="B139" s="3"/>
      <c r="C139" s="3"/>
      <c r="D139" s="3"/>
      <c r="E139" s="3"/>
      <c r="F139" s="3"/>
      <c r="G139" s="3"/>
    </row>
    <row r="140" spans="1:7" ht="20" customHeight="1" x14ac:dyDescent="0.2">
      <c r="A140" s="3"/>
      <c r="B140" s="3"/>
      <c r="C140" s="3"/>
      <c r="D140" s="3"/>
      <c r="E140" s="3"/>
      <c r="F140" s="3"/>
      <c r="G140" s="3"/>
    </row>
    <row r="141" spans="1:7" ht="20" customHeight="1" x14ac:dyDescent="0.2">
      <c r="A141" s="3"/>
      <c r="B141" s="3"/>
      <c r="C141" s="3"/>
      <c r="D141" s="3"/>
      <c r="E141" s="3"/>
      <c r="F141" s="3"/>
      <c r="G141" s="3"/>
    </row>
    <row r="142" spans="1:7" ht="20" customHeight="1" x14ac:dyDescent="0.2">
      <c r="A142" s="3"/>
      <c r="B142" s="3"/>
      <c r="C142" s="3"/>
      <c r="D142" s="3"/>
      <c r="E142" s="3"/>
      <c r="F142" s="3"/>
      <c r="G142" s="3"/>
    </row>
    <row r="143" spans="1:7" ht="20" customHeight="1" x14ac:dyDescent="0.2">
      <c r="A143" s="3"/>
      <c r="B143" s="3"/>
      <c r="C143" s="3"/>
      <c r="D143" s="3"/>
      <c r="E143" s="3"/>
      <c r="F143" s="3"/>
      <c r="G143" s="3"/>
    </row>
    <row r="144" spans="1:7" ht="20" customHeight="1" x14ac:dyDescent="0.2">
      <c r="A144" s="3"/>
      <c r="B144" s="3"/>
      <c r="C144" s="3"/>
      <c r="D144" s="3"/>
      <c r="E144" s="3"/>
      <c r="F144" s="3"/>
      <c r="G144" s="3"/>
    </row>
    <row r="145" spans="1:7" ht="20" customHeight="1" x14ac:dyDescent="0.2">
      <c r="A145" s="3"/>
      <c r="B145" s="3"/>
      <c r="C145" s="3"/>
      <c r="D145" s="3"/>
      <c r="E145" s="3"/>
      <c r="F145" s="3"/>
      <c r="G145" s="3"/>
    </row>
    <row r="146" spans="1:7" ht="20" customHeight="1" x14ac:dyDescent="0.2">
      <c r="A146" s="3"/>
      <c r="B146" s="3"/>
      <c r="C146" s="3"/>
      <c r="D146" s="3"/>
      <c r="E146" s="3"/>
      <c r="F146" s="3"/>
      <c r="G146" s="3"/>
    </row>
    <row r="147" spans="1:7" ht="20" customHeight="1" x14ac:dyDescent="0.2">
      <c r="A147" s="3"/>
      <c r="B147" s="3"/>
      <c r="C147" s="3"/>
      <c r="D147" s="3"/>
      <c r="E147" s="3"/>
      <c r="F147" s="3"/>
      <c r="G147" s="3"/>
    </row>
    <row r="148" spans="1:7" ht="20" customHeight="1" x14ac:dyDescent="0.2">
      <c r="A148" s="3"/>
      <c r="B148" s="3"/>
      <c r="C148" s="3"/>
      <c r="D148" s="3"/>
      <c r="E148" s="3"/>
      <c r="F148" s="3"/>
      <c r="G148" s="3"/>
    </row>
    <row r="149" spans="1:7" ht="20" customHeight="1" x14ac:dyDescent="0.2">
      <c r="A149" s="3"/>
      <c r="B149" s="3"/>
      <c r="C149" s="3"/>
      <c r="D149" s="3"/>
      <c r="E149" s="3"/>
      <c r="F149" s="3"/>
      <c r="G149" s="3"/>
    </row>
    <row r="150" spans="1:7" ht="20" customHeight="1" x14ac:dyDescent="0.2">
      <c r="A150" s="3"/>
      <c r="B150" s="3"/>
      <c r="C150" s="3"/>
      <c r="D150" s="3"/>
      <c r="E150" s="3"/>
      <c r="F150" s="3"/>
      <c r="G150" s="3"/>
    </row>
    <row r="151" spans="1:7" ht="20" customHeight="1" x14ac:dyDescent="0.2">
      <c r="A151" s="3"/>
      <c r="B151" s="3"/>
      <c r="C151" s="3"/>
      <c r="D151" s="3"/>
      <c r="E151" s="3"/>
      <c r="F151" s="3"/>
      <c r="G151" s="3"/>
    </row>
    <row r="152" spans="1:7" ht="20" customHeight="1" x14ac:dyDescent="0.2">
      <c r="A152" s="3"/>
      <c r="B152" s="3"/>
      <c r="C152" s="3"/>
      <c r="D152" s="3"/>
      <c r="E152" s="3"/>
      <c r="F152" s="3"/>
      <c r="G152" s="3"/>
    </row>
    <row r="153" spans="1:7" ht="20" customHeight="1" x14ac:dyDescent="0.2">
      <c r="A153" s="3"/>
      <c r="B153" s="3"/>
      <c r="C153" s="3"/>
      <c r="D153" s="3"/>
      <c r="E153" s="3"/>
      <c r="F153" s="3"/>
      <c r="G153" s="3"/>
    </row>
    <row r="154" spans="1:7" ht="20" customHeight="1" x14ac:dyDescent="0.2">
      <c r="A154" s="3"/>
      <c r="B154" s="3"/>
      <c r="C154" s="3"/>
      <c r="D154" s="3"/>
      <c r="E154" s="3"/>
      <c r="F154" s="3"/>
      <c r="G154" s="3"/>
    </row>
    <row r="155" spans="1:7" ht="20" customHeight="1" x14ac:dyDescent="0.2">
      <c r="A155" s="3"/>
      <c r="B155" s="3"/>
      <c r="C155" s="3"/>
      <c r="D155" s="3"/>
      <c r="E155" s="3"/>
      <c r="F155" s="3"/>
      <c r="G155" s="3"/>
    </row>
    <row r="156" spans="1:7" ht="20" customHeight="1" x14ac:dyDescent="0.2">
      <c r="A156" s="3"/>
      <c r="B156" s="3"/>
      <c r="C156" s="3"/>
      <c r="D156" s="3"/>
      <c r="E156" s="3"/>
      <c r="F156" s="3"/>
      <c r="G156" s="3"/>
    </row>
    <row r="157" spans="1:7" ht="20" customHeight="1" x14ac:dyDescent="0.2">
      <c r="A157" s="3"/>
      <c r="B157" s="3"/>
      <c r="C157" s="3"/>
      <c r="D157" s="3"/>
      <c r="E157" s="3"/>
      <c r="F157" s="3"/>
      <c r="G157" s="3"/>
    </row>
    <row r="158" spans="1:7" ht="20" customHeight="1" x14ac:dyDescent="0.2">
      <c r="A158" s="3"/>
      <c r="B158" s="3"/>
      <c r="C158" s="3"/>
      <c r="D158" s="3"/>
      <c r="E158" s="3"/>
      <c r="F158" s="3"/>
      <c r="G158" s="3"/>
    </row>
    <row r="159" spans="1:7" ht="20" customHeight="1" x14ac:dyDescent="0.2">
      <c r="A159" s="3"/>
      <c r="B159" s="3"/>
      <c r="C159" s="3"/>
      <c r="D159" s="3"/>
      <c r="E159" s="3"/>
      <c r="F159" s="3"/>
      <c r="G159" s="3"/>
    </row>
    <row r="160" spans="1:7" ht="20" customHeight="1" x14ac:dyDescent="0.2">
      <c r="A160" s="3"/>
      <c r="B160" s="3"/>
      <c r="C160" s="3"/>
      <c r="D160" s="3"/>
      <c r="E160" s="3"/>
      <c r="F160" s="3"/>
      <c r="G160" s="3"/>
    </row>
    <row r="161" spans="1:7" ht="20" customHeight="1" x14ac:dyDescent="0.2">
      <c r="A161" s="3"/>
      <c r="B161" s="3"/>
      <c r="C161" s="3"/>
      <c r="D161" s="3"/>
      <c r="E161" s="3"/>
      <c r="F161" s="3"/>
      <c r="G161" s="3"/>
    </row>
    <row r="162" spans="1:7" ht="20" customHeight="1" x14ac:dyDescent="0.2">
      <c r="A162" s="3"/>
      <c r="B162" s="3"/>
      <c r="C162" s="3"/>
      <c r="D162" s="3"/>
      <c r="E162" s="3"/>
      <c r="F162" s="3"/>
      <c r="G162" s="3"/>
    </row>
    <row r="163" spans="1:7" ht="20" customHeight="1" x14ac:dyDescent="0.2">
      <c r="A163" s="3"/>
      <c r="B163" s="3"/>
      <c r="C163" s="3"/>
      <c r="D163" s="3"/>
      <c r="E163" s="3"/>
      <c r="F163" s="3"/>
      <c r="G163" s="3"/>
    </row>
    <row r="164" spans="1:7" ht="20" customHeight="1" x14ac:dyDescent="0.2">
      <c r="A164" s="3"/>
      <c r="B164" s="3"/>
      <c r="C164" s="3"/>
      <c r="D164" s="3"/>
      <c r="E164" s="3"/>
      <c r="F164" s="3"/>
      <c r="G164" s="3"/>
    </row>
    <row r="165" spans="1:7" ht="20" customHeight="1" x14ac:dyDescent="0.2">
      <c r="A165" s="3"/>
      <c r="B165" s="3"/>
      <c r="C165" s="3"/>
      <c r="D165" s="3"/>
      <c r="E165" s="3"/>
      <c r="F165" s="3"/>
      <c r="G165" s="3"/>
    </row>
    <row r="166" spans="1:7" ht="20" customHeight="1" x14ac:dyDescent="0.2">
      <c r="A166" s="3"/>
      <c r="B166" s="3"/>
      <c r="C166" s="3"/>
      <c r="D166" s="3"/>
      <c r="E166" s="3"/>
      <c r="F166" s="3"/>
      <c r="G166" s="3"/>
    </row>
    <row r="167" spans="1:7" ht="20" customHeight="1" x14ac:dyDescent="0.2">
      <c r="A167" s="3"/>
      <c r="B167" s="3"/>
      <c r="C167" s="3"/>
      <c r="D167" s="3"/>
      <c r="E167" s="3"/>
      <c r="F167" s="3"/>
      <c r="G167" s="3"/>
    </row>
    <row r="168" spans="1:7" ht="20" customHeight="1" x14ac:dyDescent="0.2">
      <c r="A168" s="3"/>
      <c r="B168" s="3"/>
      <c r="C168" s="3"/>
      <c r="D168" s="3"/>
      <c r="E168" s="3"/>
      <c r="F168" s="3"/>
      <c r="G168" s="3"/>
    </row>
    <row r="169" spans="1:7" ht="20" customHeight="1" x14ac:dyDescent="0.2">
      <c r="A169" s="3"/>
      <c r="B169" s="3"/>
      <c r="C169" s="3"/>
      <c r="D169" s="3"/>
      <c r="E169" s="3"/>
      <c r="F169" s="3"/>
      <c r="G169" s="3"/>
    </row>
    <row r="170" spans="1:7" ht="20" customHeight="1" x14ac:dyDescent="0.2">
      <c r="A170" s="3"/>
      <c r="B170" s="3"/>
      <c r="C170" s="3"/>
      <c r="D170" s="3"/>
      <c r="E170" s="3"/>
      <c r="F170" s="3"/>
      <c r="G170" s="3"/>
    </row>
    <row r="171" spans="1:7" ht="20" customHeight="1" x14ac:dyDescent="0.2">
      <c r="A171" s="3"/>
      <c r="B171" s="3"/>
      <c r="C171" s="3"/>
      <c r="D171" s="3"/>
      <c r="E171" s="3"/>
      <c r="F171" s="3"/>
      <c r="G171" s="3"/>
    </row>
    <row r="172" spans="1:7" ht="20" customHeight="1" x14ac:dyDescent="0.2">
      <c r="A172" s="3"/>
      <c r="B172" s="3"/>
      <c r="C172" s="3"/>
      <c r="D172" s="3"/>
      <c r="E172" s="3"/>
      <c r="F172" s="3"/>
      <c r="G172" s="3"/>
    </row>
    <row r="173" spans="1:7" ht="20" customHeight="1" x14ac:dyDescent="0.2">
      <c r="A173" s="3"/>
      <c r="B173" s="3"/>
      <c r="C173" s="3"/>
      <c r="D173" s="3"/>
      <c r="E173" s="3"/>
      <c r="F173" s="3"/>
      <c r="G173" s="3"/>
    </row>
    <row r="174" spans="1:7" ht="20" customHeight="1" x14ac:dyDescent="0.2">
      <c r="A174" s="3"/>
      <c r="B174" s="3"/>
      <c r="C174" s="3"/>
      <c r="D174" s="3"/>
      <c r="E174" s="3"/>
      <c r="F174" s="3"/>
      <c r="G174" s="3"/>
    </row>
    <row r="175" spans="1:7" ht="20" customHeight="1" x14ac:dyDescent="0.2">
      <c r="A175" s="3"/>
      <c r="B175" s="3"/>
      <c r="C175" s="3"/>
      <c r="D175" s="3"/>
      <c r="E175" s="3"/>
      <c r="F175" s="3"/>
      <c r="G175" s="3"/>
    </row>
    <row r="176" spans="1:7" ht="20" customHeight="1" x14ac:dyDescent="0.2">
      <c r="A176" s="3"/>
      <c r="B176" s="3"/>
      <c r="C176" s="3"/>
      <c r="D176" s="3"/>
      <c r="E176" s="3"/>
      <c r="F176" s="3"/>
      <c r="G176" s="3"/>
    </row>
    <row r="177" spans="1:7" ht="20" customHeight="1" x14ac:dyDescent="0.2">
      <c r="A177" s="3"/>
      <c r="B177" s="3"/>
      <c r="C177" s="3"/>
      <c r="D177" s="3"/>
      <c r="E177" s="3"/>
      <c r="F177" s="3"/>
      <c r="G177" s="3"/>
    </row>
    <row r="178" spans="1:7" ht="20" customHeight="1" x14ac:dyDescent="0.2">
      <c r="A178" s="3"/>
      <c r="B178" s="3"/>
      <c r="C178" s="3"/>
      <c r="D178" s="3"/>
      <c r="E178" s="3"/>
      <c r="F178" s="3"/>
      <c r="G178" s="3"/>
    </row>
    <row r="179" spans="1:7" ht="20" customHeight="1" x14ac:dyDescent="0.2">
      <c r="A179" s="3"/>
      <c r="B179" s="3"/>
      <c r="C179" s="3"/>
      <c r="D179" s="3"/>
      <c r="E179" s="3"/>
      <c r="F179" s="3"/>
      <c r="G179" s="3"/>
    </row>
    <row r="180" spans="1:7" ht="20" customHeight="1" x14ac:dyDescent="0.2">
      <c r="A180" s="3"/>
      <c r="B180" s="3"/>
      <c r="C180" s="3"/>
      <c r="D180" s="3"/>
      <c r="E180" s="3"/>
      <c r="F180" s="3"/>
      <c r="G180" s="3"/>
    </row>
    <row r="181" spans="1:7" ht="20" customHeight="1" x14ac:dyDescent="0.2">
      <c r="A181" s="3"/>
      <c r="B181" s="3"/>
      <c r="C181" s="3"/>
      <c r="D181" s="3"/>
      <c r="E181" s="3"/>
      <c r="F181" s="3"/>
      <c r="G181" s="3"/>
    </row>
    <row r="182" spans="1:7" ht="20" customHeight="1" x14ac:dyDescent="0.2">
      <c r="A182" s="3"/>
      <c r="B182" s="3"/>
      <c r="C182" s="3"/>
      <c r="D182" s="3"/>
      <c r="E182" s="3"/>
      <c r="F182" s="3"/>
      <c r="G182" s="3"/>
    </row>
    <row r="183" spans="1:7" ht="20" customHeight="1" x14ac:dyDescent="0.2">
      <c r="A183" s="3"/>
      <c r="B183" s="3"/>
      <c r="C183" s="3"/>
      <c r="D183" s="3"/>
      <c r="E183" s="3"/>
      <c r="F183" s="3"/>
      <c r="G183" s="3"/>
    </row>
    <row r="184" spans="1:7" ht="20" customHeight="1" x14ac:dyDescent="0.2">
      <c r="A184" s="3"/>
      <c r="B184" s="3"/>
      <c r="C184" s="3"/>
      <c r="D184" s="3"/>
      <c r="E184" s="3"/>
      <c r="F184" s="3"/>
      <c r="G184" s="3"/>
    </row>
    <row r="185" spans="1:7" ht="20" customHeight="1" x14ac:dyDescent="0.2">
      <c r="A185" s="3"/>
      <c r="B185" s="3"/>
      <c r="C185" s="3"/>
      <c r="D185" s="3"/>
      <c r="E185" s="3"/>
      <c r="F185" s="3"/>
      <c r="G185" s="3"/>
    </row>
    <row r="186" spans="1:7" ht="20" customHeight="1" x14ac:dyDescent="0.2">
      <c r="A186" s="3"/>
      <c r="B186" s="3"/>
      <c r="C186" s="3"/>
      <c r="D186" s="3"/>
      <c r="E186" s="3"/>
      <c r="F186" s="3"/>
      <c r="G186" s="3"/>
    </row>
    <row r="187" spans="1:7" ht="20" customHeight="1" x14ac:dyDescent="0.2">
      <c r="A187" s="3"/>
      <c r="B187" s="3"/>
      <c r="C187" s="3"/>
      <c r="D187" s="3"/>
      <c r="E187" s="3"/>
      <c r="F187" s="3"/>
      <c r="G187" s="3"/>
    </row>
    <row r="188" spans="1:7" ht="20" customHeight="1" x14ac:dyDescent="0.2">
      <c r="A188" s="3"/>
      <c r="B188" s="3"/>
      <c r="C188" s="3"/>
      <c r="D188" s="3"/>
      <c r="E188" s="3"/>
      <c r="F188" s="3"/>
      <c r="G188" s="3"/>
    </row>
    <row r="189" spans="1:7" ht="20" customHeight="1" x14ac:dyDescent="0.2">
      <c r="A189" s="3"/>
      <c r="B189" s="3"/>
      <c r="C189" s="3"/>
      <c r="D189" s="3"/>
      <c r="E189" s="3"/>
      <c r="F189" s="3"/>
      <c r="G189" s="3"/>
    </row>
    <row r="190" spans="1:7" ht="20" customHeight="1" x14ac:dyDescent="0.2">
      <c r="A190" s="3"/>
      <c r="B190" s="3"/>
      <c r="C190" s="3"/>
      <c r="D190" s="3"/>
      <c r="E190" s="3"/>
      <c r="F190" s="3"/>
      <c r="G190" s="3"/>
    </row>
    <row r="191" spans="1:7" ht="20" customHeight="1" x14ac:dyDescent="0.2">
      <c r="A191" s="3"/>
      <c r="B191" s="3"/>
      <c r="C191" s="3"/>
      <c r="D191" s="3"/>
      <c r="E191" s="3"/>
      <c r="F191" s="3"/>
      <c r="G191" s="3"/>
    </row>
    <row r="192" spans="1:7" ht="20" customHeight="1" x14ac:dyDescent="0.2">
      <c r="A192" s="3"/>
      <c r="B192" s="3"/>
      <c r="C192" s="3"/>
      <c r="D192" s="3"/>
      <c r="E192" s="3"/>
      <c r="F192" s="3"/>
      <c r="G192" s="3"/>
    </row>
    <row r="193" spans="1:7" ht="20" customHeight="1" x14ac:dyDescent="0.2">
      <c r="A193" s="3"/>
      <c r="B193" s="3"/>
      <c r="C193" s="3"/>
      <c r="D193" s="3"/>
      <c r="E193" s="3"/>
      <c r="F193" s="3"/>
      <c r="G193" s="3"/>
    </row>
    <row r="194" spans="1:7" ht="20" customHeight="1" x14ac:dyDescent="0.2">
      <c r="A194" s="3"/>
      <c r="B194" s="3"/>
      <c r="C194" s="3"/>
      <c r="D194" s="3"/>
      <c r="E194" s="3"/>
      <c r="F194" s="3"/>
      <c r="G194" s="3"/>
    </row>
    <row r="195" spans="1:7" ht="20" customHeight="1" x14ac:dyDescent="0.2">
      <c r="A195" s="3"/>
      <c r="B195" s="3"/>
      <c r="C195" s="3"/>
      <c r="D195" s="3"/>
      <c r="E195" s="3"/>
      <c r="F195" s="3"/>
      <c r="G195" s="3"/>
    </row>
    <row r="196" spans="1:7" ht="20" customHeight="1" x14ac:dyDescent="0.2">
      <c r="A196" s="3"/>
      <c r="B196" s="3"/>
      <c r="C196" s="3"/>
      <c r="D196" s="3"/>
      <c r="E196" s="3"/>
      <c r="F196" s="3"/>
      <c r="G196" s="3"/>
    </row>
    <row r="197" spans="1:7" ht="20" customHeight="1" x14ac:dyDescent="0.2">
      <c r="A197" s="3"/>
      <c r="B197" s="3"/>
      <c r="C197" s="3"/>
      <c r="D197" s="3"/>
      <c r="E197" s="3"/>
      <c r="F197" s="3"/>
      <c r="G197" s="3"/>
    </row>
    <row r="198" spans="1:7" ht="20" customHeight="1" x14ac:dyDescent="0.2">
      <c r="A198" s="3"/>
      <c r="B198" s="3"/>
      <c r="C198" s="3"/>
      <c r="D198" s="3"/>
      <c r="E198" s="3"/>
      <c r="F198" s="3"/>
      <c r="G198" s="3"/>
    </row>
    <row r="199" spans="1:7" ht="20" customHeight="1" x14ac:dyDescent="0.2">
      <c r="A199" s="3"/>
      <c r="B199" s="3"/>
      <c r="C199" s="3"/>
      <c r="D199" s="3"/>
      <c r="E199" s="3"/>
      <c r="F199" s="3"/>
      <c r="G199" s="3"/>
    </row>
    <row r="200" spans="1:7" ht="20" customHeight="1" x14ac:dyDescent="0.2">
      <c r="A200" s="3"/>
      <c r="B200" s="3"/>
      <c r="C200" s="3"/>
      <c r="D200" s="3"/>
      <c r="E200" s="3"/>
      <c r="F200" s="3"/>
      <c r="G200" s="3"/>
    </row>
    <row r="201" spans="1:7" ht="20" customHeight="1" x14ac:dyDescent="0.2">
      <c r="A201" s="3"/>
      <c r="B201" s="3"/>
      <c r="C201" s="3"/>
      <c r="D201" s="3"/>
      <c r="E201" s="3"/>
      <c r="F201" s="3"/>
      <c r="G201" s="3"/>
    </row>
    <row r="202" spans="1:7" ht="20" customHeight="1" x14ac:dyDescent="0.2">
      <c r="A202" s="3"/>
      <c r="B202" s="3"/>
      <c r="C202" s="3"/>
      <c r="D202" s="3"/>
      <c r="E202" s="3"/>
      <c r="F202" s="3"/>
      <c r="G202" s="3"/>
    </row>
    <row r="203" spans="1:7" ht="20" customHeight="1" x14ac:dyDescent="0.2">
      <c r="A203" s="3"/>
      <c r="B203" s="3"/>
      <c r="C203" s="3"/>
      <c r="D203" s="3"/>
      <c r="E203" s="3"/>
      <c r="F203" s="3"/>
      <c r="G203" s="3"/>
    </row>
    <row r="204" spans="1:7" ht="20" customHeight="1" x14ac:dyDescent="0.2">
      <c r="A204" s="3"/>
      <c r="B204" s="3"/>
      <c r="C204" s="3"/>
      <c r="D204" s="3"/>
      <c r="E204" s="3"/>
      <c r="F204" s="3"/>
      <c r="G204" s="3"/>
    </row>
    <row r="205" spans="1:7" ht="20" customHeight="1" x14ac:dyDescent="0.2">
      <c r="A205" s="3"/>
      <c r="B205" s="3"/>
      <c r="C205" s="3"/>
      <c r="D205" s="3"/>
      <c r="E205" s="3"/>
      <c r="F205" s="3"/>
      <c r="G205" s="3"/>
    </row>
    <row r="206" spans="1:7" ht="20" customHeight="1" x14ac:dyDescent="0.2">
      <c r="A206" s="3"/>
      <c r="B206" s="3"/>
      <c r="C206" s="3"/>
      <c r="D206" s="3"/>
      <c r="E206" s="3"/>
      <c r="F206" s="3"/>
      <c r="G206" s="3"/>
    </row>
    <row r="207" spans="1:7" ht="20" customHeight="1" x14ac:dyDescent="0.2">
      <c r="A207" s="3"/>
      <c r="B207" s="3"/>
      <c r="C207" s="3"/>
      <c r="D207" s="3"/>
      <c r="E207" s="3"/>
      <c r="F207" s="3"/>
      <c r="G207" s="3"/>
    </row>
    <row r="208" spans="1:7" ht="20" customHeight="1" x14ac:dyDescent="0.2">
      <c r="A208" s="3"/>
      <c r="B208" s="3"/>
      <c r="C208" s="3"/>
      <c r="D208" s="3"/>
      <c r="E208" s="3"/>
      <c r="F208" s="3"/>
      <c r="G208" s="3"/>
    </row>
    <row r="209" spans="1:7" ht="20" customHeight="1" x14ac:dyDescent="0.2">
      <c r="A209" s="3"/>
      <c r="B209" s="3"/>
      <c r="C209" s="3"/>
      <c r="D209" s="3"/>
      <c r="E209" s="3"/>
      <c r="F209" s="3"/>
      <c r="G209" s="3"/>
    </row>
    <row r="210" spans="1:7" ht="20" customHeight="1" x14ac:dyDescent="0.2">
      <c r="A210" s="3"/>
      <c r="B210" s="3"/>
      <c r="C210" s="3"/>
      <c r="D210" s="3"/>
      <c r="E210" s="3"/>
      <c r="F210" s="3"/>
      <c r="G210" s="3"/>
    </row>
    <row r="211" spans="1:7" ht="20" customHeight="1" x14ac:dyDescent="0.2">
      <c r="A211" s="3"/>
      <c r="B211" s="3"/>
      <c r="C211" s="3"/>
      <c r="D211" s="3"/>
      <c r="E211" s="3"/>
      <c r="F211" s="3"/>
      <c r="G211" s="3"/>
    </row>
    <row r="212" spans="1:7" ht="20" customHeight="1" x14ac:dyDescent="0.2">
      <c r="A212" s="3"/>
      <c r="B212" s="3"/>
      <c r="C212" s="3"/>
      <c r="D212" s="3"/>
      <c r="E212" s="3"/>
      <c r="F212" s="3"/>
      <c r="G212" s="3"/>
    </row>
    <row r="213" spans="1:7" ht="20" customHeight="1" x14ac:dyDescent="0.2">
      <c r="A213" s="3"/>
      <c r="B213" s="3"/>
      <c r="C213" s="3"/>
      <c r="D213" s="3"/>
      <c r="E213" s="3"/>
      <c r="F213" s="3"/>
      <c r="G213" s="3"/>
    </row>
    <row r="214" spans="1:7" ht="20" customHeight="1" x14ac:dyDescent="0.2">
      <c r="A214" s="3"/>
      <c r="B214" s="3"/>
      <c r="C214" s="3"/>
      <c r="D214" s="3"/>
      <c r="E214" s="3"/>
      <c r="F214" s="3"/>
      <c r="G214" s="3"/>
    </row>
    <row r="215" spans="1:7" ht="20" customHeight="1" x14ac:dyDescent="0.2">
      <c r="A215" s="3"/>
      <c r="B215" s="3"/>
      <c r="C215" s="3"/>
      <c r="D215" s="3"/>
      <c r="E215" s="3"/>
      <c r="F215" s="3"/>
      <c r="G215" s="3"/>
    </row>
    <row r="216" spans="1:7" ht="20" customHeight="1" x14ac:dyDescent="0.2">
      <c r="A216" s="3"/>
      <c r="B216" s="3"/>
      <c r="C216" s="3"/>
      <c r="D216" s="3"/>
      <c r="E216" s="3"/>
      <c r="F216" s="3"/>
      <c r="G216" s="3"/>
    </row>
    <row r="217" spans="1:7" ht="20" customHeight="1" x14ac:dyDescent="0.2">
      <c r="A217" s="3"/>
      <c r="B217" s="3"/>
      <c r="C217" s="3"/>
      <c r="D217" s="3"/>
      <c r="E217" s="3"/>
      <c r="F217" s="3"/>
      <c r="G217" s="3"/>
    </row>
    <row r="218" spans="1:7" ht="20" customHeight="1" x14ac:dyDescent="0.2">
      <c r="A218" s="3"/>
      <c r="B218" s="3"/>
      <c r="C218" s="3"/>
      <c r="D218" s="3"/>
      <c r="E218" s="3"/>
      <c r="F218" s="3"/>
      <c r="G218" s="3"/>
    </row>
    <row r="219" spans="1:7" ht="20" customHeight="1" x14ac:dyDescent="0.2">
      <c r="A219" s="3"/>
      <c r="B219" s="3"/>
      <c r="C219" s="3"/>
      <c r="D219" s="3"/>
      <c r="E219" s="3"/>
      <c r="F219" s="3"/>
      <c r="G219" s="3"/>
    </row>
    <row r="220" spans="1:7" ht="20" customHeight="1" x14ac:dyDescent="0.2">
      <c r="A220" s="3"/>
      <c r="B220" s="3"/>
      <c r="C220" s="3"/>
      <c r="D220" s="3"/>
      <c r="E220" s="3"/>
      <c r="F220" s="3"/>
      <c r="G220" s="3"/>
    </row>
    <row r="221" spans="1:7" ht="20" customHeight="1" x14ac:dyDescent="0.2">
      <c r="A221" s="3"/>
      <c r="B221" s="3"/>
      <c r="C221" s="3"/>
      <c r="D221" s="3"/>
      <c r="E221" s="3"/>
      <c r="F221" s="3"/>
      <c r="G221" s="3"/>
    </row>
    <row r="222" spans="1:7" ht="20" customHeight="1" x14ac:dyDescent="0.2">
      <c r="A222" s="3"/>
      <c r="B222" s="3"/>
      <c r="C222" s="3"/>
      <c r="D222" s="3"/>
      <c r="E222" s="3"/>
      <c r="F222" s="3"/>
      <c r="G222" s="3"/>
    </row>
    <row r="223" spans="1:7" ht="20" customHeight="1" x14ac:dyDescent="0.2">
      <c r="A223" s="3"/>
      <c r="B223" s="3"/>
      <c r="C223" s="3"/>
      <c r="D223" s="3"/>
      <c r="E223" s="3"/>
      <c r="F223" s="3"/>
      <c r="G223" s="3"/>
    </row>
    <row r="224" spans="1:7" ht="20" customHeight="1" x14ac:dyDescent="0.2">
      <c r="A224" s="3"/>
      <c r="B224" s="3"/>
      <c r="C224" s="3"/>
      <c r="D224" s="3"/>
      <c r="E224" s="3"/>
      <c r="F224" s="3"/>
      <c r="G224" s="3"/>
    </row>
    <row r="225" spans="1:7" ht="20" customHeight="1" x14ac:dyDescent="0.2">
      <c r="A225" s="3"/>
      <c r="B225" s="3"/>
      <c r="C225" s="3"/>
      <c r="D225" s="3"/>
      <c r="E225" s="3"/>
      <c r="F225" s="3"/>
      <c r="G225" s="3"/>
    </row>
    <row r="226" spans="1:7" ht="20" customHeight="1" x14ac:dyDescent="0.2">
      <c r="A226" s="3"/>
      <c r="B226" s="3"/>
      <c r="C226" s="3"/>
      <c r="D226" s="3"/>
      <c r="E226" s="3"/>
      <c r="F226" s="3"/>
      <c r="G226" s="3"/>
    </row>
    <row r="227" spans="1:7" ht="20" customHeight="1" x14ac:dyDescent="0.2">
      <c r="A227" s="3"/>
      <c r="B227" s="3"/>
      <c r="C227" s="3"/>
      <c r="D227" s="3"/>
      <c r="E227" s="3"/>
      <c r="F227" s="3"/>
      <c r="G227" s="3"/>
    </row>
    <row r="228" spans="1:7" ht="20" customHeight="1" x14ac:dyDescent="0.2">
      <c r="A228" s="3"/>
      <c r="B228" s="3"/>
      <c r="C228" s="3"/>
      <c r="D228" s="3"/>
      <c r="E228" s="3"/>
      <c r="F228" s="3"/>
      <c r="G228" s="3"/>
    </row>
    <row r="229" spans="1:7" ht="20" customHeight="1" x14ac:dyDescent="0.2">
      <c r="A229" s="3"/>
      <c r="B229" s="3"/>
      <c r="C229" s="3"/>
      <c r="D229" s="3"/>
      <c r="E229" s="3"/>
      <c r="F229" s="3"/>
      <c r="G229" s="3"/>
    </row>
    <row r="230" spans="1:7" ht="20" customHeight="1" x14ac:dyDescent="0.2">
      <c r="A230" s="3"/>
      <c r="B230" s="3"/>
      <c r="C230" s="3"/>
      <c r="D230" s="3"/>
      <c r="E230" s="3"/>
      <c r="F230" s="3"/>
      <c r="G230" s="3"/>
    </row>
    <row r="231" spans="1:7" ht="20" customHeight="1" x14ac:dyDescent="0.2">
      <c r="A231" s="3"/>
      <c r="B231" s="3"/>
      <c r="C231" s="3"/>
      <c r="D231" s="3"/>
      <c r="E231" s="3"/>
      <c r="F231" s="3"/>
      <c r="G231" s="3"/>
    </row>
    <row r="232" spans="1:7" ht="20" customHeight="1" x14ac:dyDescent="0.2">
      <c r="A232" s="3"/>
      <c r="B232" s="3"/>
      <c r="C232" s="3"/>
      <c r="D232" s="3"/>
      <c r="E232" s="3"/>
      <c r="F232" s="3"/>
      <c r="G232" s="3"/>
    </row>
    <row r="233" spans="1:7" ht="20" customHeight="1" x14ac:dyDescent="0.2">
      <c r="A233" s="3"/>
      <c r="B233" s="3"/>
      <c r="C233" s="3"/>
      <c r="D233" s="3"/>
      <c r="E233" s="3"/>
      <c r="F233" s="3"/>
      <c r="G233" s="3"/>
    </row>
    <row r="234" spans="1:7" ht="20" customHeight="1" x14ac:dyDescent="0.2">
      <c r="A234" s="3"/>
      <c r="B234" s="3"/>
      <c r="C234" s="3"/>
      <c r="D234" s="3"/>
      <c r="E234" s="3"/>
      <c r="F234" s="3"/>
      <c r="G234" s="3"/>
    </row>
    <row r="235" spans="1:7" ht="20" customHeight="1" x14ac:dyDescent="0.2">
      <c r="A235" s="3"/>
      <c r="B235" s="3"/>
      <c r="C235" s="3"/>
      <c r="D235" s="3"/>
      <c r="E235" s="3"/>
      <c r="F235" s="3"/>
      <c r="G235" s="3"/>
    </row>
    <row r="236" spans="1:7" ht="20" customHeight="1" x14ac:dyDescent="0.2">
      <c r="A236" s="3"/>
      <c r="B236" s="3"/>
      <c r="C236" s="3"/>
      <c r="D236" s="3"/>
      <c r="E236" s="3"/>
      <c r="F236" s="3"/>
      <c r="G236" s="3"/>
    </row>
    <row r="237" spans="1:7" ht="20" customHeight="1" x14ac:dyDescent="0.2">
      <c r="A237" s="3"/>
      <c r="B237" s="3"/>
      <c r="C237" s="3"/>
      <c r="D237" s="3"/>
      <c r="E237" s="3"/>
      <c r="F237" s="3"/>
      <c r="G237" s="3"/>
    </row>
    <row r="238" spans="1:7" ht="20" customHeight="1" x14ac:dyDescent="0.2">
      <c r="A238" s="3"/>
      <c r="B238" s="3"/>
      <c r="C238" s="3"/>
      <c r="D238" s="3"/>
      <c r="E238" s="3"/>
      <c r="F238" s="3"/>
      <c r="G238" s="3"/>
    </row>
    <row r="239" spans="1:7" ht="20" customHeight="1" x14ac:dyDescent="0.2">
      <c r="A239" s="3"/>
      <c r="B239" s="3"/>
      <c r="C239" s="3"/>
      <c r="D239" s="3"/>
      <c r="E239" s="3"/>
      <c r="F239" s="3"/>
      <c r="G239" s="3"/>
    </row>
    <row r="240" spans="1:7" ht="20" customHeight="1" x14ac:dyDescent="0.2">
      <c r="A240" s="3"/>
      <c r="B240" s="3"/>
      <c r="C240" s="3"/>
      <c r="D240" s="3"/>
      <c r="E240" s="3"/>
      <c r="F240" s="3"/>
      <c r="G240" s="3"/>
    </row>
    <row r="241" spans="1:7" ht="20" customHeight="1" x14ac:dyDescent="0.2">
      <c r="A241" s="3"/>
      <c r="B241" s="3"/>
      <c r="C241" s="3"/>
      <c r="D241" s="3"/>
      <c r="E241" s="3"/>
      <c r="F241" s="3"/>
      <c r="G241" s="3"/>
    </row>
    <row r="242" spans="1:7" ht="20" customHeight="1" x14ac:dyDescent="0.2">
      <c r="A242" s="3"/>
      <c r="B242" s="3"/>
      <c r="C242" s="3"/>
      <c r="D242" s="3"/>
      <c r="E242" s="3"/>
      <c r="F242" s="3"/>
      <c r="G242" s="3"/>
    </row>
    <row r="243" spans="1:7" ht="20" customHeight="1" x14ac:dyDescent="0.2">
      <c r="A243" s="3"/>
      <c r="B243" s="3"/>
      <c r="C243" s="3"/>
      <c r="D243" s="3"/>
      <c r="E243" s="3"/>
      <c r="F243" s="3"/>
      <c r="G243" s="3"/>
    </row>
    <row r="244" spans="1:7" ht="20" customHeight="1" x14ac:dyDescent="0.2">
      <c r="A244" s="3"/>
      <c r="B244" s="3"/>
      <c r="C244" s="3"/>
      <c r="D244" s="3"/>
      <c r="E244" s="3"/>
      <c r="F244" s="3"/>
      <c r="G244" s="3"/>
    </row>
    <row r="245" spans="1:7" ht="20" customHeight="1" x14ac:dyDescent="0.2">
      <c r="A245" s="3"/>
      <c r="B245" s="3"/>
      <c r="C245" s="3"/>
      <c r="D245" s="3"/>
      <c r="E245" s="3"/>
      <c r="F245" s="3"/>
      <c r="G245" s="3"/>
    </row>
    <row r="246" spans="1:7" ht="20" customHeight="1" x14ac:dyDescent="0.2">
      <c r="A246" s="3"/>
      <c r="B246" s="3"/>
      <c r="C246" s="3"/>
      <c r="D246" s="3"/>
      <c r="E246" s="3"/>
      <c r="F246" s="3"/>
      <c r="G246" s="3"/>
    </row>
    <row r="247" spans="1:7" ht="20" customHeight="1" x14ac:dyDescent="0.2">
      <c r="A247" s="3"/>
      <c r="B247" s="3"/>
      <c r="C247" s="3"/>
      <c r="D247" s="3"/>
      <c r="E247" s="3"/>
      <c r="F247" s="3"/>
      <c r="G247" s="3"/>
    </row>
    <row r="248" spans="1:7" ht="20" customHeight="1" x14ac:dyDescent="0.2">
      <c r="A248" s="3"/>
      <c r="B248" s="3"/>
      <c r="C248" s="3"/>
      <c r="D248" s="3"/>
      <c r="E248" s="3"/>
      <c r="F248" s="3"/>
      <c r="G248" s="3"/>
    </row>
    <row r="249" spans="1:7" ht="20" customHeight="1" x14ac:dyDescent="0.2">
      <c r="A249" s="3"/>
      <c r="B249" s="3"/>
      <c r="C249" s="3"/>
      <c r="D249" s="3"/>
      <c r="E249" s="3"/>
      <c r="F249" s="3"/>
      <c r="G249" s="3"/>
    </row>
    <row r="250" spans="1:7" ht="20" customHeight="1" x14ac:dyDescent="0.2">
      <c r="A250" s="3"/>
      <c r="B250" s="3"/>
      <c r="C250" s="3"/>
      <c r="D250" s="3"/>
      <c r="E250" s="3"/>
      <c r="F250" s="3"/>
      <c r="G250" s="3"/>
    </row>
    <row r="251" spans="1:7" ht="20" customHeight="1" x14ac:dyDescent="0.2">
      <c r="A251" s="3"/>
      <c r="B251" s="3"/>
      <c r="C251" s="3"/>
      <c r="D251" s="3"/>
      <c r="E251" s="3"/>
      <c r="F251" s="3"/>
      <c r="G251" s="3"/>
    </row>
    <row r="252" spans="1:7" ht="20" customHeight="1" x14ac:dyDescent="0.2">
      <c r="A252" s="3"/>
      <c r="B252" s="3"/>
      <c r="C252" s="3"/>
      <c r="D252" s="3"/>
      <c r="E252" s="3"/>
      <c r="F252" s="3"/>
      <c r="G252" s="3"/>
    </row>
    <row r="253" spans="1:7" ht="20" customHeight="1" x14ac:dyDescent="0.2">
      <c r="A253" s="3"/>
      <c r="B253" s="3"/>
      <c r="C253" s="3"/>
      <c r="D253" s="3"/>
      <c r="E253" s="3"/>
      <c r="F253" s="3"/>
      <c r="G253" s="3"/>
    </row>
    <row r="254" spans="1:7" ht="20" customHeight="1" x14ac:dyDescent="0.2">
      <c r="A254" s="3"/>
      <c r="B254" s="3"/>
      <c r="C254" s="3"/>
      <c r="D254" s="3"/>
      <c r="E254" s="3"/>
      <c r="F254" s="3"/>
      <c r="G254" s="3"/>
    </row>
    <row r="255" spans="1:7" ht="20" customHeight="1" x14ac:dyDescent="0.2">
      <c r="A255" s="3"/>
      <c r="B255" s="3"/>
      <c r="C255" s="3"/>
      <c r="D255" s="3"/>
      <c r="E255" s="3"/>
      <c r="F255" s="3"/>
      <c r="G255" s="3"/>
    </row>
    <row r="256" spans="1:7" ht="20" customHeight="1" x14ac:dyDescent="0.2">
      <c r="A256" s="3"/>
      <c r="B256" s="3"/>
      <c r="C256" s="3"/>
      <c r="D256" s="3"/>
      <c r="E256" s="3"/>
      <c r="F256" s="3"/>
      <c r="G256" s="3"/>
    </row>
    <row r="257" spans="1:7" ht="20" customHeight="1" x14ac:dyDescent="0.2">
      <c r="A257" s="3"/>
      <c r="B257" s="3"/>
      <c r="C257" s="3"/>
      <c r="D257" s="3"/>
      <c r="E257" s="3"/>
      <c r="F257" s="3"/>
      <c r="G257" s="3"/>
    </row>
    <row r="258" spans="1:7" ht="20" customHeight="1" x14ac:dyDescent="0.2">
      <c r="A258" s="3"/>
      <c r="B258" s="3"/>
      <c r="C258" s="3"/>
      <c r="D258" s="3"/>
      <c r="E258" s="3"/>
      <c r="F258" s="3"/>
      <c r="G258" s="3"/>
    </row>
    <row r="259" spans="1:7" ht="20" customHeight="1" x14ac:dyDescent="0.2">
      <c r="A259" s="3"/>
      <c r="B259" s="3"/>
      <c r="C259" s="3"/>
      <c r="D259" s="3"/>
      <c r="E259" s="3"/>
      <c r="F259" s="3"/>
      <c r="G259" s="3"/>
    </row>
    <row r="260" spans="1:7" ht="20" customHeight="1" x14ac:dyDescent="0.2">
      <c r="A260" s="3"/>
      <c r="B260" s="3"/>
      <c r="C260" s="3"/>
      <c r="D260" s="3"/>
      <c r="E260" s="3"/>
      <c r="F260" s="3"/>
      <c r="G260" s="3"/>
    </row>
    <row r="261" spans="1:7" ht="20" customHeight="1" x14ac:dyDescent="0.2">
      <c r="A261" s="3"/>
      <c r="B261" s="3"/>
      <c r="C261" s="3"/>
      <c r="D261" s="3"/>
      <c r="E261" s="3"/>
      <c r="F261" s="3"/>
      <c r="G261" s="3"/>
    </row>
    <row r="262" spans="1:7" ht="20" customHeight="1" x14ac:dyDescent="0.2">
      <c r="A262" s="3"/>
      <c r="B262" s="3"/>
      <c r="C262" s="3"/>
      <c r="D262" s="3"/>
      <c r="E262" s="3"/>
      <c r="F262" s="3"/>
      <c r="G262" s="3"/>
    </row>
    <row r="263" spans="1:7" ht="20" customHeight="1" x14ac:dyDescent="0.2">
      <c r="A263" s="3"/>
      <c r="B263" s="3"/>
      <c r="C263" s="3"/>
      <c r="D263" s="3"/>
      <c r="E263" s="3"/>
      <c r="F263" s="3"/>
      <c r="G263" s="3"/>
    </row>
    <row r="264" spans="1:7" ht="20" customHeight="1" x14ac:dyDescent="0.2">
      <c r="A264" s="3"/>
      <c r="B264" s="3"/>
      <c r="C264" s="3"/>
      <c r="D264" s="3"/>
      <c r="E264" s="3"/>
      <c r="F264" s="3"/>
      <c r="G264" s="3"/>
    </row>
    <row r="265" spans="1:7" ht="20" customHeight="1" x14ac:dyDescent="0.2">
      <c r="A265" s="3"/>
      <c r="B265" s="3"/>
      <c r="C265" s="3"/>
      <c r="D265" s="3"/>
      <c r="E265" s="3"/>
      <c r="F265" s="3"/>
      <c r="G265" s="3"/>
    </row>
    <row r="266" spans="1:7" ht="20" customHeight="1" x14ac:dyDescent="0.2">
      <c r="A266" s="3"/>
      <c r="B266" s="3"/>
      <c r="C266" s="3"/>
      <c r="D266" s="3"/>
      <c r="E266" s="3"/>
      <c r="F266" s="3"/>
      <c r="G266" s="3"/>
    </row>
    <row r="267" spans="1:7" ht="20" customHeight="1" x14ac:dyDescent="0.2">
      <c r="A267" s="3"/>
      <c r="B267" s="3"/>
      <c r="C267" s="3"/>
      <c r="D267" s="3"/>
      <c r="E267" s="3"/>
      <c r="F267" s="3"/>
      <c r="G267" s="3"/>
    </row>
    <row r="268" spans="1:7" ht="20" customHeight="1" x14ac:dyDescent="0.2">
      <c r="A268" s="3"/>
      <c r="B268" s="3"/>
      <c r="C268" s="3"/>
      <c r="D268" s="3"/>
      <c r="E268" s="3"/>
      <c r="F268" s="3"/>
      <c r="G268" s="3"/>
    </row>
    <row r="269" spans="1:7" ht="20" customHeight="1" x14ac:dyDescent="0.2">
      <c r="A269" s="3"/>
      <c r="B269" s="3"/>
      <c r="C269" s="3"/>
      <c r="D269" s="3"/>
      <c r="E269" s="3"/>
      <c r="F269" s="3"/>
      <c r="G269" s="3"/>
    </row>
    <row r="270" spans="1:7" ht="20" customHeight="1" x14ac:dyDescent="0.2">
      <c r="A270" s="3"/>
      <c r="B270" s="3"/>
      <c r="C270" s="3"/>
      <c r="D270" s="3"/>
      <c r="E270" s="3"/>
      <c r="F270" s="3"/>
      <c r="G270" s="3"/>
    </row>
    <row r="271" spans="1:7" ht="20" customHeight="1" x14ac:dyDescent="0.2">
      <c r="A271" s="3"/>
      <c r="B271" s="3"/>
      <c r="C271" s="3"/>
      <c r="D271" s="3"/>
      <c r="E271" s="3"/>
      <c r="F271" s="3"/>
      <c r="G271" s="3"/>
    </row>
    <row r="272" spans="1:7" ht="20" customHeight="1" x14ac:dyDescent="0.2">
      <c r="A272" s="3"/>
      <c r="B272" s="3"/>
      <c r="C272" s="3"/>
      <c r="D272" s="3"/>
      <c r="E272" s="3"/>
      <c r="F272" s="3"/>
      <c r="G272" s="3"/>
    </row>
    <row r="273" spans="1:7" ht="20" customHeight="1" x14ac:dyDescent="0.2">
      <c r="A273" s="3"/>
      <c r="B273" s="3"/>
      <c r="C273" s="3"/>
      <c r="D273" s="3"/>
      <c r="E273" s="3"/>
      <c r="F273" s="3"/>
      <c r="G273" s="3"/>
    </row>
    <row r="274" spans="1:7" ht="20" customHeight="1" x14ac:dyDescent="0.2">
      <c r="A274" s="3"/>
      <c r="B274" s="3"/>
      <c r="C274" s="3"/>
      <c r="D274" s="3"/>
      <c r="E274" s="3"/>
      <c r="F274" s="3"/>
      <c r="G27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66"/>
  <sheetViews>
    <sheetView topLeftCell="P1" zoomScaleNormal="100" workbookViewId="0">
      <pane ySplit="1" topLeftCell="A2" activePane="bottomLeft" state="frozen"/>
      <selection pane="bottomLeft" activeCell="AF48" sqref="AF48"/>
    </sheetView>
  </sheetViews>
  <sheetFormatPr baseColWidth="10" defaultColWidth="41" defaultRowHeight="20" customHeight="1" x14ac:dyDescent="0.2"/>
  <sheetData>
    <row r="1" spans="1:34" ht="20" customHeight="1" x14ac:dyDescent="0.2">
      <c r="A1" s="34" t="s">
        <v>110</v>
      </c>
      <c r="B1" s="34" t="s">
        <v>171</v>
      </c>
      <c r="C1" s="34" t="s">
        <v>228</v>
      </c>
      <c r="D1" s="34" t="s">
        <v>123</v>
      </c>
      <c r="E1" s="34" t="s">
        <v>132</v>
      </c>
      <c r="F1" s="34" t="s">
        <v>367</v>
      </c>
      <c r="G1" s="34" t="s">
        <v>368</v>
      </c>
      <c r="H1" s="34" t="s">
        <v>227</v>
      </c>
      <c r="I1" s="34" t="s">
        <v>369</v>
      </c>
      <c r="J1" s="34" t="s">
        <v>178</v>
      </c>
      <c r="K1" s="34" t="s">
        <v>179</v>
      </c>
      <c r="L1" s="34" t="s">
        <v>370</v>
      </c>
      <c r="M1" s="34" t="s">
        <v>371</v>
      </c>
      <c r="N1" s="34" t="s">
        <v>372</v>
      </c>
      <c r="O1" s="34" t="s">
        <v>373</v>
      </c>
      <c r="P1" s="34" t="s">
        <v>374</v>
      </c>
      <c r="Q1" s="34" t="s">
        <v>375</v>
      </c>
      <c r="R1" s="34" t="s">
        <v>376</v>
      </c>
      <c r="S1" s="34" t="s">
        <v>377</v>
      </c>
      <c r="T1" s="34" t="s">
        <v>378</v>
      </c>
      <c r="U1" s="34" t="s">
        <v>379</v>
      </c>
      <c r="V1" s="34" t="s">
        <v>380</v>
      </c>
      <c r="W1" s="34" t="s">
        <v>381</v>
      </c>
      <c r="X1" s="34" t="s">
        <v>382</v>
      </c>
      <c r="Y1" s="34" t="s">
        <v>383</v>
      </c>
      <c r="Z1" s="34" t="s">
        <v>384</v>
      </c>
      <c r="AA1" s="34" t="s">
        <v>385</v>
      </c>
      <c r="AB1" s="34" t="s">
        <v>386</v>
      </c>
      <c r="AC1" s="34" t="s">
        <v>387</v>
      </c>
      <c r="AD1" s="34" t="s">
        <v>388</v>
      </c>
      <c r="AE1" s="34" t="s">
        <v>389</v>
      </c>
      <c r="AF1" s="34" t="s">
        <v>390</v>
      </c>
      <c r="AG1" s="34" t="s">
        <v>391</v>
      </c>
      <c r="AH1" s="34" t="s">
        <v>392</v>
      </c>
    </row>
    <row r="2" spans="1:34" ht="20" customHeight="1" x14ac:dyDescent="0.2">
      <c r="A2" s="56" t="s">
        <v>121</v>
      </c>
      <c r="B2" s="56" t="s">
        <v>201</v>
      </c>
      <c r="C2" s="56">
        <v>101</v>
      </c>
      <c r="D2" s="56" t="s">
        <v>21</v>
      </c>
      <c r="E2" s="56" t="s">
        <v>38</v>
      </c>
      <c r="F2" s="56" t="s">
        <v>21</v>
      </c>
      <c r="G2" s="56" t="s">
        <v>393</v>
      </c>
      <c r="H2" s="56" t="s">
        <v>229</v>
      </c>
      <c r="I2" s="57" t="s">
        <v>394</v>
      </c>
      <c r="J2" s="56">
        <f>IFERROR(INDEX('Team Ratings'!$B$2:$B$73,MATCH($D2,'Team Ratings'!$A$2:$A$73,0)),"")</f>
        <v>1</v>
      </c>
      <c r="K2" s="56">
        <f>IFERROR(INDEX('Team Ratings'!$B$2:$B$73,MATCH($E2,'Team Ratings'!$A$2:$A$73,0)),"")</f>
        <v>16</v>
      </c>
      <c r="L2" s="58">
        <f>IFERROR(INDEX('Team Ratings'!$D$2:$D$73,MATCH($D2,'Team Ratings'!$A$2:$A$73,0)),"")</f>
        <v>0.98129999999999995</v>
      </c>
      <c r="M2" s="58">
        <f>IFERROR(INDEX('Team Ratings'!$D$2:$D$73,MATCH($E2,'Team Ratings'!$A$2:$A$73,0)),"")</f>
        <v>0.45479999999999998</v>
      </c>
      <c r="N2" s="59">
        <f>IFERROR(INDEX('Team Ratings'!$E$2:$E$73,MATCH($D2,'Team Ratings'!$A$2:$A$73,0)),"")</f>
        <v>128.19999999999999</v>
      </c>
      <c r="O2" s="59">
        <f>IFERROR(INDEX('Team Ratings'!$E$2:$E$73,MATCH($E2,'Team Ratings'!$A$2:$A$73,0)),"")</f>
        <v>107.2</v>
      </c>
      <c r="P2" s="59">
        <f>IFERROR(INDEX('Team Ratings'!$F$2:$F$73,MATCH($D2,'Team Ratings'!$A$2:$A$73,0)),"")</f>
        <v>90.8</v>
      </c>
      <c r="Q2" s="59">
        <f>IFERROR(INDEX('Team Ratings'!$F$2:$F$73,MATCH($E2,'Team Ratings'!$A$2:$A$73,0)),"")</f>
        <v>108.9</v>
      </c>
      <c r="R2" s="59">
        <f>IFERROR(INDEX('Team Ratings'!$G$2:$G$73,MATCH($D2,'Team Ratings'!$A$2:$A$73,0)),"")</f>
        <v>37.4</v>
      </c>
      <c r="S2" s="59">
        <f>IFERROR(INDEX('Team Ratings'!$G$2:$G$73,MATCH($E2,'Team Ratings'!$A$2:$A$73,0)),"")</f>
        <v>-1.7</v>
      </c>
      <c r="T2" s="59">
        <f>IFERROR(INDEX('Team Ratings'!$H$2:$H$73,MATCH($D2,'Team Ratings'!$A$2:$A$73,0)),"")</f>
        <v>56.8</v>
      </c>
      <c r="U2" s="59">
        <f>IFERROR(INDEX('Team Ratings'!$H$2:$H$73,MATCH($E2,'Team Ratings'!$A$2:$A$73,0)),"")</f>
        <v>50.6</v>
      </c>
      <c r="V2" s="59">
        <f>IFERROR(INDEX('Team Ratings'!$K$2:$K$73,MATCH($D2,'Team Ratings'!$A$2:$A$73,0)),"")</f>
        <v>18.100000000000001</v>
      </c>
      <c r="W2" s="59">
        <f>IFERROR(INDEX('Team Ratings'!$K$2:$K$73,MATCH($E2,'Team Ratings'!$A$2:$A$73,0)),"")</f>
        <v>17.100000000000001</v>
      </c>
      <c r="X2" s="59">
        <f>IFERROR(INDEX('Team Ratings'!$L$2:$L$73,MATCH($D2,'Team Ratings'!$A$2:$A$73,0)),"")</f>
        <v>38.1</v>
      </c>
      <c r="Y2" s="59">
        <f>IFERROR(INDEX('Team Ratings'!$L$2:$L$73,MATCH($E2,'Team Ratings'!$A$2:$A$73,0)),"")</f>
        <v>31.9</v>
      </c>
      <c r="Z2" s="59">
        <f>IFERROR(INDEX('Team Ratings'!$M$2:$M$73,MATCH($D2,'Team Ratings'!$A$2:$A$73,0)),"")</f>
        <v>24.8</v>
      </c>
      <c r="AA2" s="59">
        <f>IFERROR(INDEX('Team Ratings'!$M$2:$M$73,MATCH($E2,'Team Ratings'!$A$2:$A$73,0)),"")</f>
        <v>29</v>
      </c>
      <c r="AB2" s="59">
        <f>IFERROR(INDEX('Team Ratings'!$O$2:$O$73,MATCH($D2,'Team Ratings'!$A$2:$A$73,0)),"")</f>
        <v>35.1</v>
      </c>
      <c r="AC2" s="59">
        <f>IFERROR(INDEX('Team Ratings'!$O$2:$O$73,MATCH($E2,'Team Ratings'!$A$2:$A$73,0)),"")</f>
        <v>30.4</v>
      </c>
      <c r="AD2" s="59">
        <f>IFERROR(INDEX('Team Ratings'!$Q$2:$Q$73,MATCH($D2,'Team Ratings'!$A$2:$A$73,0)),"")</f>
        <v>-2.5</v>
      </c>
      <c r="AE2" s="59">
        <f>IFERROR(INDEX('Team Ratings'!$Q$2:$Q$73,MATCH($E2,'Team Ratings'!$A$2:$A$73,0)),"")</f>
        <v>0</v>
      </c>
      <c r="AF2" s="56" t="s">
        <v>395</v>
      </c>
      <c r="AG2" s="56" t="s">
        <v>21</v>
      </c>
      <c r="AH2" s="57" t="s">
        <v>394</v>
      </c>
    </row>
    <row r="3" spans="1:34" ht="20" customHeight="1" x14ac:dyDescent="0.2">
      <c r="A3" s="56" t="s">
        <v>167</v>
      </c>
      <c r="B3" s="56" t="s">
        <v>201</v>
      </c>
      <c r="C3" s="56">
        <v>102</v>
      </c>
      <c r="D3" s="56" t="s">
        <v>31</v>
      </c>
      <c r="E3" s="56" t="s">
        <v>30</v>
      </c>
      <c r="F3" s="56" t="s">
        <v>31</v>
      </c>
      <c r="G3" s="56" t="s">
        <v>396</v>
      </c>
      <c r="H3" s="56" t="s">
        <v>230</v>
      </c>
      <c r="I3" s="57" t="s">
        <v>394</v>
      </c>
      <c r="J3" s="56">
        <f>IFERROR(INDEX('Team Ratings'!$B$2:$B$73,MATCH($D3,'Team Ratings'!$A$2:$A$73,0)),"")</f>
        <v>9</v>
      </c>
      <c r="K3" s="56">
        <f>IFERROR(INDEX('Team Ratings'!$B$2:$B$73,MATCH($E3,'Team Ratings'!$A$2:$A$73,0)),"")</f>
        <v>8</v>
      </c>
      <c r="L3" s="58">
        <f>IFERROR(INDEX('Team Ratings'!$D$2:$D$73,MATCH($D3,'Team Ratings'!$A$2:$A$73,0)),"")</f>
        <v>0.8367</v>
      </c>
      <c r="M3" s="58">
        <f>IFERROR(INDEX('Team Ratings'!$D$2:$D$73,MATCH($E3,'Team Ratings'!$A$2:$A$73,0)),"")</f>
        <v>0.91720000000000002</v>
      </c>
      <c r="N3" s="59">
        <f>IFERROR(INDEX('Team Ratings'!$E$2:$E$73,MATCH($D3,'Team Ratings'!$A$2:$A$73,0)),"")</f>
        <v>114.9</v>
      </c>
      <c r="O3" s="59">
        <f>IFERROR(INDEX('Team Ratings'!$E$2:$E$73,MATCH($E3,'Team Ratings'!$A$2:$A$73,0)),"")</f>
        <v>125.2</v>
      </c>
      <c r="P3" s="59">
        <f>IFERROR(INDEX('Team Ratings'!$F$2:$F$73,MATCH($D3,'Team Ratings'!$A$2:$A$73,0)),"")</f>
        <v>99.6</v>
      </c>
      <c r="Q3" s="59">
        <f>IFERROR(INDEX('Team Ratings'!$F$2:$F$73,MATCH($E3,'Team Ratings'!$A$2:$A$73,0)),"")</f>
        <v>101.6</v>
      </c>
      <c r="R3" s="59">
        <f>IFERROR(INDEX('Team Ratings'!$G$2:$G$73,MATCH($D3,'Team Ratings'!$A$2:$A$73,0)),"")</f>
        <v>15.3</v>
      </c>
      <c r="S3" s="59">
        <f>IFERROR(INDEX('Team Ratings'!$G$2:$G$73,MATCH($E3,'Team Ratings'!$A$2:$A$73,0)),"")</f>
        <v>23.6</v>
      </c>
      <c r="T3" s="59">
        <f>IFERROR(INDEX('Team Ratings'!$H$2:$H$73,MATCH($D3,'Team Ratings'!$A$2:$A$73,0)),"")</f>
        <v>50.9</v>
      </c>
      <c r="U3" s="59">
        <f>IFERROR(INDEX('Team Ratings'!$H$2:$H$73,MATCH($E3,'Team Ratings'!$A$2:$A$73,0)),"")</f>
        <v>56.5</v>
      </c>
      <c r="V3" s="59">
        <f>IFERROR(INDEX('Team Ratings'!$K$2:$K$73,MATCH($D3,'Team Ratings'!$A$2:$A$73,0)),"")</f>
        <v>19.7</v>
      </c>
      <c r="W3" s="59">
        <f>IFERROR(INDEX('Team Ratings'!$K$2:$K$73,MATCH($E3,'Team Ratings'!$A$2:$A$73,0)),"")</f>
        <v>15.8</v>
      </c>
      <c r="X3" s="59">
        <f>IFERROR(INDEX('Team Ratings'!$L$2:$L$73,MATCH($D3,'Team Ratings'!$A$2:$A$73,0)),"")</f>
        <v>34.4</v>
      </c>
      <c r="Y3" s="59">
        <f>IFERROR(INDEX('Team Ratings'!$L$2:$L$73,MATCH($E3,'Team Ratings'!$A$2:$A$73,0)),"")</f>
        <v>30.8</v>
      </c>
      <c r="Z3" s="59">
        <f>IFERROR(INDEX('Team Ratings'!$M$2:$M$73,MATCH($D3,'Team Ratings'!$A$2:$A$73,0)),"")</f>
        <v>29.2</v>
      </c>
      <c r="AA3" s="59">
        <f>IFERROR(INDEX('Team Ratings'!$M$2:$M$73,MATCH($E3,'Team Ratings'!$A$2:$A$73,0)),"")</f>
        <v>30</v>
      </c>
      <c r="AB3" s="59">
        <f>IFERROR(INDEX('Team Ratings'!$O$2:$O$73,MATCH($D3,'Team Ratings'!$A$2:$A$73,0)),"")</f>
        <v>33.1</v>
      </c>
      <c r="AC3" s="59">
        <f>IFERROR(INDEX('Team Ratings'!$O$2:$O$73,MATCH($E3,'Team Ratings'!$A$2:$A$73,0)),"")</f>
        <v>36</v>
      </c>
      <c r="AD3" s="59">
        <f>IFERROR(INDEX('Team Ratings'!$Q$2:$Q$73,MATCH($D3,'Team Ratings'!$A$2:$A$73,0)),"")</f>
        <v>0</v>
      </c>
      <c r="AE3" s="59">
        <f>IFERROR(INDEX('Team Ratings'!$Q$2:$Q$73,MATCH($E3,'Team Ratings'!$A$2:$A$73,0)),"")</f>
        <v>0</v>
      </c>
      <c r="AF3" s="56" t="s">
        <v>395</v>
      </c>
      <c r="AG3" s="56" t="s">
        <v>30</v>
      </c>
      <c r="AH3" s="60" t="s">
        <v>397</v>
      </c>
    </row>
    <row r="4" spans="1:34" ht="20" customHeight="1" x14ac:dyDescent="0.2">
      <c r="A4" s="56" t="s">
        <v>155</v>
      </c>
      <c r="B4" s="56" t="s">
        <v>201</v>
      </c>
      <c r="C4" s="56">
        <v>103</v>
      </c>
      <c r="D4" s="56" t="s">
        <v>27</v>
      </c>
      <c r="E4" s="56" t="s">
        <v>34</v>
      </c>
      <c r="F4" s="56" t="s">
        <v>27</v>
      </c>
      <c r="G4" s="56" t="s">
        <v>398</v>
      </c>
      <c r="H4" s="56" t="s">
        <v>231</v>
      </c>
      <c r="I4" s="57" t="s">
        <v>394</v>
      </c>
      <c r="J4" s="56">
        <f>IFERROR(INDEX('Team Ratings'!$B$2:$B$73,MATCH($D4,'Team Ratings'!$A$2:$A$73,0)),"")</f>
        <v>5</v>
      </c>
      <c r="K4" s="56">
        <f>IFERROR(INDEX('Team Ratings'!$B$2:$B$73,MATCH($E4,'Team Ratings'!$A$2:$A$73,0)),"")</f>
        <v>12</v>
      </c>
      <c r="L4" s="58">
        <f>IFERROR(INDEX('Team Ratings'!$D$2:$D$73,MATCH($D4,'Team Ratings'!$A$2:$A$73,0)),"")</f>
        <v>0.9415</v>
      </c>
      <c r="M4" s="58">
        <f>IFERROR(INDEX('Team Ratings'!$D$2:$D$73,MATCH($E4,'Team Ratings'!$A$2:$A$73,0)),"")</f>
        <v>0.7752</v>
      </c>
      <c r="N4" s="59">
        <f>IFERROR(INDEX('Team Ratings'!$E$2:$E$73,MATCH($D4,'Team Ratings'!$A$2:$A$73,0)),"")</f>
        <v>119.8</v>
      </c>
      <c r="O4" s="59">
        <f>IFERROR(INDEX('Team Ratings'!$E$2:$E$73,MATCH($E4,'Team Ratings'!$A$2:$A$73,0)),"")</f>
        <v>109.8</v>
      </c>
      <c r="P4" s="59">
        <f>IFERROR(INDEX('Team Ratings'!$F$2:$F$73,MATCH($D4,'Team Ratings'!$A$2:$A$73,0)),"")</f>
        <v>94.1</v>
      </c>
      <c r="Q4" s="59">
        <f>IFERROR(INDEX('Team Ratings'!$F$2:$F$73,MATCH($E4,'Team Ratings'!$A$2:$A$73,0)),"")</f>
        <v>98.6</v>
      </c>
      <c r="R4" s="59">
        <f>IFERROR(INDEX('Team Ratings'!$G$2:$G$73,MATCH($D4,'Team Ratings'!$A$2:$A$73,0)),"")</f>
        <v>25.7</v>
      </c>
      <c r="S4" s="59">
        <f>IFERROR(INDEX('Team Ratings'!$G$2:$G$73,MATCH($E4,'Team Ratings'!$A$2:$A$73,0)),"")</f>
        <v>11.2</v>
      </c>
      <c r="T4" s="59">
        <f>IFERROR(INDEX('Team Ratings'!$H$2:$H$73,MATCH($D4,'Team Ratings'!$A$2:$A$73,0)),"")</f>
        <v>51</v>
      </c>
      <c r="U4" s="59">
        <f>IFERROR(INDEX('Team Ratings'!$H$2:$H$73,MATCH($E4,'Team Ratings'!$A$2:$A$73,0)),"")</f>
        <v>54.2</v>
      </c>
      <c r="V4" s="59">
        <f>IFERROR(INDEX('Team Ratings'!$K$2:$K$73,MATCH($D4,'Team Ratings'!$A$2:$A$73,0)),"")</f>
        <v>19.399999999999999</v>
      </c>
      <c r="W4" s="59">
        <f>IFERROR(INDEX('Team Ratings'!$K$2:$K$73,MATCH($E4,'Team Ratings'!$A$2:$A$73,0)),"")</f>
        <v>18.100000000000001</v>
      </c>
      <c r="X4" s="59">
        <f>IFERROR(INDEX('Team Ratings'!$L$2:$L$73,MATCH($D4,'Team Ratings'!$A$2:$A$73,0)),"")</f>
        <v>35.9</v>
      </c>
      <c r="Y4" s="59">
        <f>IFERROR(INDEX('Team Ratings'!$L$2:$L$73,MATCH($E4,'Team Ratings'!$A$2:$A$73,0)),"")</f>
        <v>22</v>
      </c>
      <c r="Z4" s="59">
        <f>IFERROR(INDEX('Team Ratings'!$M$2:$M$73,MATCH($D4,'Team Ratings'!$A$2:$A$73,0)),"")</f>
        <v>30.2</v>
      </c>
      <c r="AA4" s="59">
        <f>IFERROR(INDEX('Team Ratings'!$M$2:$M$73,MATCH($E4,'Team Ratings'!$A$2:$A$73,0)),"")</f>
        <v>26.3</v>
      </c>
      <c r="AB4" s="59">
        <f>IFERROR(INDEX('Team Ratings'!$O$2:$O$73,MATCH($D4,'Team Ratings'!$A$2:$A$73,0)),"")</f>
        <v>33.200000000000003</v>
      </c>
      <c r="AC4" s="59">
        <f>IFERROR(INDEX('Team Ratings'!$O$2:$O$73,MATCH($E4,'Team Ratings'!$A$2:$A$73,0)),"")</f>
        <v>34.9</v>
      </c>
      <c r="AD4" s="59">
        <f>IFERROR(INDEX('Team Ratings'!$Q$2:$Q$73,MATCH($D4,'Team Ratings'!$A$2:$A$73,0)),"")</f>
        <v>0</v>
      </c>
      <c r="AE4" s="59">
        <f>IFERROR(INDEX('Team Ratings'!$Q$2:$Q$73,MATCH($E4,'Team Ratings'!$A$2:$A$73,0)),"")</f>
        <v>0</v>
      </c>
      <c r="AF4" s="56" t="s">
        <v>395</v>
      </c>
      <c r="AG4" s="56" t="s">
        <v>27</v>
      </c>
      <c r="AH4" s="57" t="s">
        <v>394</v>
      </c>
    </row>
    <row r="5" spans="1:34" ht="20" customHeight="1" x14ac:dyDescent="0.2">
      <c r="A5" s="56" t="s">
        <v>147</v>
      </c>
      <c r="B5" s="56" t="s">
        <v>201</v>
      </c>
      <c r="C5" s="56">
        <v>104</v>
      </c>
      <c r="D5" s="56" t="s">
        <v>35</v>
      </c>
      <c r="E5" s="56" t="s">
        <v>26</v>
      </c>
      <c r="F5" s="56" t="s">
        <v>26</v>
      </c>
      <c r="G5" s="56" t="s">
        <v>399</v>
      </c>
      <c r="H5" s="56" t="s">
        <v>232</v>
      </c>
      <c r="I5" s="57" t="s">
        <v>394</v>
      </c>
      <c r="J5" s="56">
        <f>IFERROR(INDEX('Team Ratings'!$B$2:$B$73,MATCH($D5,'Team Ratings'!$A$2:$A$73,0)),"")</f>
        <v>13</v>
      </c>
      <c r="K5" s="56">
        <f>IFERROR(INDEX('Team Ratings'!$B$2:$B$73,MATCH($E5,'Team Ratings'!$A$2:$A$73,0)),"")</f>
        <v>4</v>
      </c>
      <c r="L5" s="58">
        <f>IFERROR(INDEX('Team Ratings'!$D$2:$D$73,MATCH($D5,'Team Ratings'!$A$2:$A$73,0)),"")</f>
        <v>0.68899999999999995</v>
      </c>
      <c r="M5" s="58">
        <f>IFERROR(INDEX('Team Ratings'!$D$2:$D$73,MATCH($E5,'Team Ratings'!$A$2:$A$73,0)),"")</f>
        <v>0.92779999999999996</v>
      </c>
      <c r="N5" s="59">
        <f>IFERROR(INDEX('Team Ratings'!$E$2:$E$73,MATCH($D5,'Team Ratings'!$A$2:$A$73,0)),"")</f>
        <v>107.5</v>
      </c>
      <c r="O5" s="59">
        <f>IFERROR(INDEX('Team Ratings'!$E$2:$E$73,MATCH($E5,'Team Ratings'!$A$2:$A$73,0)),"")</f>
        <v>117.8</v>
      </c>
      <c r="P5" s="59">
        <f>IFERROR(INDEX('Team Ratings'!$F$2:$F$73,MATCH($D5,'Team Ratings'!$A$2:$A$73,0)),"")</f>
        <v>100.3</v>
      </c>
      <c r="Q5" s="59">
        <f>IFERROR(INDEX('Team Ratings'!$F$2:$F$73,MATCH($E5,'Team Ratings'!$A$2:$A$73,0)),"")</f>
        <v>94.4</v>
      </c>
      <c r="R5" s="59">
        <f>IFERROR(INDEX('Team Ratings'!$G$2:$G$73,MATCH($D5,'Team Ratings'!$A$2:$A$73,0)),"")</f>
        <v>7.2</v>
      </c>
      <c r="S5" s="59">
        <f>IFERROR(INDEX('Team Ratings'!$G$2:$G$73,MATCH($E5,'Team Ratings'!$A$2:$A$73,0)),"")</f>
        <v>23.4</v>
      </c>
      <c r="T5" s="59">
        <f>IFERROR(INDEX('Team Ratings'!$H$2:$H$73,MATCH($D5,'Team Ratings'!$A$2:$A$73,0)),"")</f>
        <v>48.6</v>
      </c>
      <c r="U5" s="59">
        <f>IFERROR(INDEX('Team Ratings'!$H$2:$H$73,MATCH($E5,'Team Ratings'!$A$2:$A$73,0)),"")</f>
        <v>51.6</v>
      </c>
      <c r="V5" s="59">
        <f>IFERROR(INDEX('Team Ratings'!$K$2:$K$73,MATCH($D5,'Team Ratings'!$A$2:$A$73,0)),"")</f>
        <v>17.100000000000001</v>
      </c>
      <c r="W5" s="59">
        <f>IFERROR(INDEX('Team Ratings'!$K$2:$K$73,MATCH($E5,'Team Ratings'!$A$2:$A$73,0)),"")</f>
        <v>14</v>
      </c>
      <c r="X5" s="59">
        <f>IFERROR(INDEX('Team Ratings'!$L$2:$L$73,MATCH($D5,'Team Ratings'!$A$2:$A$73,0)),"")</f>
        <v>37.799999999999997</v>
      </c>
      <c r="Y5" s="59">
        <f>IFERROR(INDEX('Team Ratings'!$L$2:$L$73,MATCH($E5,'Team Ratings'!$A$2:$A$73,0)),"")</f>
        <v>29.5</v>
      </c>
      <c r="Z5" s="59">
        <f>IFERROR(INDEX('Team Ratings'!$M$2:$M$73,MATCH($D5,'Team Ratings'!$A$2:$A$73,0)),"")</f>
        <v>27.2</v>
      </c>
      <c r="AA5" s="59">
        <f>IFERROR(INDEX('Team Ratings'!$M$2:$M$73,MATCH($E5,'Team Ratings'!$A$2:$A$73,0)),"")</f>
        <v>30.1</v>
      </c>
      <c r="AB5" s="59">
        <f>IFERROR(INDEX('Team Ratings'!$O$2:$O$73,MATCH($D5,'Team Ratings'!$A$2:$A$73,0)),"")</f>
        <v>33.700000000000003</v>
      </c>
      <c r="AC5" s="59">
        <f>IFERROR(INDEX('Team Ratings'!$O$2:$O$73,MATCH($E5,'Team Ratings'!$A$2:$A$73,0)),"")</f>
        <v>35</v>
      </c>
      <c r="AD5" s="59">
        <f>IFERROR(INDEX('Team Ratings'!$Q$2:$Q$73,MATCH($D5,'Team Ratings'!$A$2:$A$73,0)),"")</f>
        <v>0</v>
      </c>
      <c r="AE5" s="59">
        <f>IFERROR(INDEX('Team Ratings'!$Q$2:$Q$73,MATCH($E5,'Team Ratings'!$A$2:$A$73,0)),"")</f>
        <v>0</v>
      </c>
      <c r="AF5" s="56" t="s">
        <v>395</v>
      </c>
      <c r="AG5" s="56" t="s">
        <v>35</v>
      </c>
      <c r="AH5" s="60" t="s">
        <v>397</v>
      </c>
    </row>
    <row r="6" spans="1:34" ht="20" customHeight="1" x14ac:dyDescent="0.2">
      <c r="A6" s="56" t="s">
        <v>159</v>
      </c>
      <c r="B6" s="56" t="s">
        <v>201</v>
      </c>
      <c r="C6" s="56">
        <v>105</v>
      </c>
      <c r="D6" s="56" t="s">
        <v>28</v>
      </c>
      <c r="E6" s="56" t="s">
        <v>33</v>
      </c>
      <c r="F6" s="56" t="s">
        <v>28</v>
      </c>
      <c r="G6" s="56" t="s">
        <v>400</v>
      </c>
      <c r="H6" s="56" t="s">
        <v>233</v>
      </c>
      <c r="I6" s="57" t="s">
        <v>394</v>
      </c>
      <c r="J6" s="56">
        <f>IFERROR(INDEX('Team Ratings'!$B$2:$B$73,MATCH($D6,'Team Ratings'!$A$2:$A$73,0)),"")</f>
        <v>6</v>
      </c>
      <c r="K6" s="56">
        <f>IFERROR(INDEX('Team Ratings'!$B$2:$B$73,MATCH($E6,'Team Ratings'!$A$2:$A$73,0)),"")</f>
        <v>11</v>
      </c>
      <c r="L6" s="58">
        <f>IFERROR(INDEX('Team Ratings'!$D$2:$D$73,MATCH($D6,'Team Ratings'!$A$2:$A$73,0)),"")</f>
        <v>0.93640000000000001</v>
      </c>
      <c r="M6" s="58">
        <f>IFERROR(INDEX('Team Ratings'!$D$2:$D$73,MATCH($E6,'Team Ratings'!$A$2:$A$73,0)),"")</f>
        <v>0.83560000000000001</v>
      </c>
      <c r="N6" s="59">
        <f>IFERROR(INDEX('Team Ratings'!$E$2:$E$73,MATCH($D6,'Team Ratings'!$A$2:$A$73,0)),"")</f>
        <v>124</v>
      </c>
      <c r="O6" s="59">
        <f>IFERROR(INDEX('Team Ratings'!$E$2:$E$73,MATCH($E6,'Team Ratings'!$A$2:$A$73,0)),"")</f>
        <v>116.8</v>
      </c>
      <c r="P6" s="59">
        <f>IFERROR(INDEX('Team Ratings'!$F$2:$F$73,MATCH($D6,'Team Ratings'!$A$2:$A$73,0)),"")</f>
        <v>98.2</v>
      </c>
      <c r="Q6" s="59">
        <f>IFERROR(INDEX('Team Ratings'!$F$2:$F$73,MATCH($E6,'Team Ratings'!$A$2:$A$73,0)),"")</f>
        <v>101.4</v>
      </c>
      <c r="R6" s="59">
        <f>IFERROR(INDEX('Team Ratings'!$G$2:$G$73,MATCH($D6,'Team Ratings'!$A$2:$A$73,0)),"")</f>
        <v>25.8</v>
      </c>
      <c r="S6" s="59">
        <f>IFERROR(INDEX('Team Ratings'!$G$2:$G$73,MATCH($E6,'Team Ratings'!$A$2:$A$73,0)),"")</f>
        <v>15.4</v>
      </c>
      <c r="T6" s="59">
        <f>IFERROR(INDEX('Team Ratings'!$H$2:$H$73,MATCH($D6,'Team Ratings'!$A$2:$A$73,0)),"")</f>
        <v>56.4</v>
      </c>
      <c r="U6" s="59">
        <f>IFERROR(INDEX('Team Ratings'!$H$2:$H$73,MATCH($E6,'Team Ratings'!$A$2:$A$73,0)),"")</f>
        <v>50.9</v>
      </c>
      <c r="V6" s="59">
        <f>IFERROR(INDEX('Team Ratings'!$K$2:$K$73,MATCH($D6,'Team Ratings'!$A$2:$A$73,0)),"")</f>
        <v>16.7</v>
      </c>
      <c r="W6" s="59">
        <f>IFERROR(INDEX('Team Ratings'!$K$2:$K$73,MATCH($E6,'Team Ratings'!$A$2:$A$73,0)),"")</f>
        <v>18.8</v>
      </c>
      <c r="X6" s="59">
        <f>IFERROR(INDEX('Team Ratings'!$L$2:$L$73,MATCH($D6,'Team Ratings'!$A$2:$A$73,0)),"")</f>
        <v>32.9</v>
      </c>
      <c r="Y6" s="59">
        <f>IFERROR(INDEX('Team Ratings'!$L$2:$L$73,MATCH($E6,'Team Ratings'!$A$2:$A$73,0)),"")</f>
        <v>38.200000000000003</v>
      </c>
      <c r="Z6" s="59">
        <f>IFERROR(INDEX('Team Ratings'!$M$2:$M$73,MATCH($D6,'Team Ratings'!$A$2:$A$73,0)),"")</f>
        <v>26.9</v>
      </c>
      <c r="AA6" s="59">
        <f>IFERROR(INDEX('Team Ratings'!$M$2:$M$73,MATCH($E6,'Team Ratings'!$A$2:$A$73,0)),"")</f>
        <v>31.8</v>
      </c>
      <c r="AB6" s="59">
        <f>IFERROR(INDEX('Team Ratings'!$O$2:$O$73,MATCH($D6,'Team Ratings'!$A$2:$A$73,0)),"")</f>
        <v>35.700000000000003</v>
      </c>
      <c r="AC6" s="59">
        <f>IFERROR(INDEX('Team Ratings'!$O$2:$O$73,MATCH($E6,'Team Ratings'!$A$2:$A$73,0)),"")</f>
        <v>33.1</v>
      </c>
      <c r="AD6" s="59">
        <f>IFERROR(INDEX('Team Ratings'!$Q$2:$Q$73,MATCH($D6,'Team Ratings'!$A$2:$A$73,0)),"")</f>
        <v>-2.5</v>
      </c>
      <c r="AE6" s="59">
        <f>IFERROR(INDEX('Team Ratings'!$Q$2:$Q$73,MATCH($E6,'Team Ratings'!$A$2:$A$73,0)),"")</f>
        <v>0</v>
      </c>
      <c r="AF6" s="56" t="s">
        <v>395</v>
      </c>
      <c r="AG6" s="56" t="s">
        <v>33</v>
      </c>
      <c r="AH6" s="60" t="s">
        <v>397</v>
      </c>
    </row>
    <row r="7" spans="1:34" ht="20" customHeight="1" x14ac:dyDescent="0.2">
      <c r="A7" s="56" t="s">
        <v>139</v>
      </c>
      <c r="B7" s="56" t="s">
        <v>201</v>
      </c>
      <c r="C7" s="56">
        <v>106</v>
      </c>
      <c r="D7" s="56" t="s">
        <v>36</v>
      </c>
      <c r="E7" s="56" t="s">
        <v>25</v>
      </c>
      <c r="F7" s="56" t="s">
        <v>25</v>
      </c>
      <c r="G7" s="56" t="s">
        <v>401</v>
      </c>
      <c r="H7" s="56" t="s">
        <v>234</v>
      </c>
      <c r="I7" s="57" t="s">
        <v>394</v>
      </c>
      <c r="J7" s="56">
        <f>IFERROR(INDEX('Team Ratings'!$B$2:$B$73,MATCH($D7,'Team Ratings'!$A$2:$A$73,0)),"")</f>
        <v>14</v>
      </c>
      <c r="K7" s="56">
        <f>IFERROR(INDEX('Team Ratings'!$B$2:$B$73,MATCH($E7,'Team Ratings'!$A$2:$A$73,0)),"")</f>
        <v>3</v>
      </c>
      <c r="L7" s="58">
        <f>IFERROR(INDEX('Team Ratings'!$D$2:$D$73,MATCH($D7,'Team Ratings'!$A$2:$A$73,0)),"")</f>
        <v>0.6391</v>
      </c>
      <c r="M7" s="58">
        <f>IFERROR(INDEX('Team Ratings'!$D$2:$D$73,MATCH($E7,'Team Ratings'!$A$2:$A$73,0)),"")</f>
        <v>0.94379999999999997</v>
      </c>
      <c r="N7" s="59">
        <f>IFERROR(INDEX('Team Ratings'!$E$2:$E$73,MATCH($D7,'Team Ratings'!$A$2:$A$73,0)),"")</f>
        <v>111.4</v>
      </c>
      <c r="O7" s="59">
        <f>IFERROR(INDEX('Team Ratings'!$E$2:$E$73,MATCH($E7,'Team Ratings'!$A$2:$A$73,0)),"")</f>
        <v>122.9</v>
      </c>
      <c r="P7" s="59">
        <f>IFERROR(INDEX('Team Ratings'!$F$2:$F$73,MATCH($D7,'Team Ratings'!$A$2:$A$73,0)),"")</f>
        <v>106</v>
      </c>
      <c r="Q7" s="59">
        <f>IFERROR(INDEX('Team Ratings'!$F$2:$F$73,MATCH($E7,'Team Ratings'!$A$2:$A$73,0)),"")</f>
        <v>96.2</v>
      </c>
      <c r="R7" s="59">
        <f>IFERROR(INDEX('Team Ratings'!$G$2:$G$73,MATCH($D7,'Team Ratings'!$A$2:$A$73,0)),"")</f>
        <v>5.4</v>
      </c>
      <c r="S7" s="59">
        <f>IFERROR(INDEX('Team Ratings'!$G$2:$G$73,MATCH($E7,'Team Ratings'!$A$2:$A$73,0)),"")</f>
        <v>26.7</v>
      </c>
      <c r="T7" s="59">
        <f>IFERROR(INDEX('Team Ratings'!$H$2:$H$73,MATCH($D7,'Team Ratings'!$A$2:$A$73,0)),"")</f>
        <v>53.4</v>
      </c>
      <c r="U7" s="59">
        <f>IFERROR(INDEX('Team Ratings'!$H$2:$H$73,MATCH($E7,'Team Ratings'!$A$2:$A$73,0)),"")</f>
        <v>53.6</v>
      </c>
      <c r="V7" s="59">
        <f>IFERROR(INDEX('Team Ratings'!$K$2:$K$73,MATCH($D7,'Team Ratings'!$A$2:$A$73,0)),"")</f>
        <v>18.7</v>
      </c>
      <c r="W7" s="59">
        <f>IFERROR(INDEX('Team Ratings'!$K$2:$K$73,MATCH($E7,'Team Ratings'!$A$2:$A$73,0)),"")</f>
        <v>14.8</v>
      </c>
      <c r="X7" s="59">
        <f>IFERROR(INDEX('Team Ratings'!$L$2:$L$73,MATCH($D7,'Team Ratings'!$A$2:$A$73,0)),"")</f>
        <v>33.6</v>
      </c>
      <c r="Y7" s="59">
        <f>IFERROR(INDEX('Team Ratings'!$L$2:$L$73,MATCH($E7,'Team Ratings'!$A$2:$A$73,0)),"")</f>
        <v>38.5</v>
      </c>
      <c r="Z7" s="59">
        <f>IFERROR(INDEX('Team Ratings'!$M$2:$M$73,MATCH($D7,'Team Ratings'!$A$2:$A$73,0)),"")</f>
        <v>25.7</v>
      </c>
      <c r="AA7" s="59">
        <f>IFERROR(INDEX('Team Ratings'!$M$2:$M$73,MATCH($E7,'Team Ratings'!$A$2:$A$73,0)),"")</f>
        <v>22.6</v>
      </c>
      <c r="AB7" s="59">
        <f>IFERROR(INDEX('Team Ratings'!$O$2:$O$73,MATCH($D7,'Team Ratings'!$A$2:$A$73,0)),"")</f>
        <v>35.700000000000003</v>
      </c>
      <c r="AC7" s="59">
        <f>IFERROR(INDEX('Team Ratings'!$O$2:$O$73,MATCH($E7,'Team Ratings'!$A$2:$A$73,0)),"")</f>
        <v>35.9</v>
      </c>
      <c r="AD7" s="59">
        <f>IFERROR(INDEX('Team Ratings'!$Q$2:$Q$73,MATCH($D7,'Team Ratings'!$A$2:$A$73,0)),"")</f>
        <v>0</v>
      </c>
      <c r="AE7" s="59">
        <f>IFERROR(INDEX('Team Ratings'!$Q$2:$Q$73,MATCH($E7,'Team Ratings'!$A$2:$A$73,0)),"")</f>
        <v>0</v>
      </c>
      <c r="AF7" s="56" t="s">
        <v>395</v>
      </c>
      <c r="AG7" s="56" t="s">
        <v>25</v>
      </c>
      <c r="AH7" s="57" t="s">
        <v>394</v>
      </c>
    </row>
    <row r="8" spans="1:34" ht="20" customHeight="1" x14ac:dyDescent="0.2">
      <c r="A8" s="56" t="s">
        <v>163</v>
      </c>
      <c r="B8" s="56" t="s">
        <v>201</v>
      </c>
      <c r="C8" s="56">
        <v>107</v>
      </c>
      <c r="D8" s="56" t="s">
        <v>29</v>
      </c>
      <c r="E8" s="56" t="s">
        <v>32</v>
      </c>
      <c r="F8" s="56" t="s">
        <v>29</v>
      </c>
      <c r="G8" s="56" t="s">
        <v>402</v>
      </c>
      <c r="H8" s="56" t="s">
        <v>235</v>
      </c>
      <c r="I8" s="57" t="s">
        <v>394</v>
      </c>
      <c r="J8" s="56">
        <f>IFERROR(INDEX('Team Ratings'!$B$2:$B$73,MATCH($D8,'Team Ratings'!$A$2:$A$73,0)),"")</f>
        <v>7</v>
      </c>
      <c r="K8" s="56">
        <f>IFERROR(INDEX('Team Ratings'!$B$2:$B$73,MATCH($E8,'Team Ratings'!$A$2:$A$73,0)),"")</f>
        <v>10</v>
      </c>
      <c r="L8" s="58">
        <f>IFERROR(INDEX('Team Ratings'!$D$2:$D$73,MATCH($D8,'Team Ratings'!$A$2:$A$73,0)),"")</f>
        <v>0.91069999999999995</v>
      </c>
      <c r="M8" s="58">
        <f>IFERROR(INDEX('Team Ratings'!$D$2:$D$73,MATCH($E8,'Team Ratings'!$A$2:$A$73,0)),"")</f>
        <v>0.81159999999999999</v>
      </c>
      <c r="N8" s="59">
        <f>IFERROR(INDEX('Team Ratings'!$E$2:$E$73,MATCH($D8,'Team Ratings'!$A$2:$A$73,0)),"")</f>
        <v>124.6</v>
      </c>
      <c r="O8" s="59">
        <f>IFERROR(INDEX('Team Ratings'!$E$2:$E$73,MATCH($E8,'Team Ratings'!$A$2:$A$73,0)),"")</f>
        <v>120</v>
      </c>
      <c r="P8" s="59">
        <f>IFERROR(INDEX('Team Ratings'!$F$2:$F$73,MATCH($D8,'Team Ratings'!$A$2:$A$73,0)),"")</f>
        <v>101.8</v>
      </c>
      <c r="Q8" s="59">
        <f>IFERROR(INDEX('Team Ratings'!$F$2:$F$73,MATCH($E8,'Team Ratings'!$A$2:$A$73,0)),"")</f>
        <v>105.7</v>
      </c>
      <c r="R8" s="59">
        <f>IFERROR(INDEX('Team Ratings'!$G$2:$G$73,MATCH($D8,'Team Ratings'!$A$2:$A$73,0)),"")</f>
        <v>22.8</v>
      </c>
      <c r="S8" s="59">
        <f>IFERROR(INDEX('Team Ratings'!$G$2:$G$73,MATCH($E8,'Team Ratings'!$A$2:$A$73,0)),"")</f>
        <v>14.3</v>
      </c>
      <c r="T8" s="59">
        <f>IFERROR(INDEX('Team Ratings'!$H$2:$H$73,MATCH($D8,'Team Ratings'!$A$2:$A$73,0)),"")</f>
        <v>53.9</v>
      </c>
      <c r="U8" s="59">
        <f>IFERROR(INDEX('Team Ratings'!$H$2:$H$73,MATCH($E8,'Team Ratings'!$A$2:$A$73,0)),"")</f>
        <v>52.8</v>
      </c>
      <c r="V8" s="59">
        <f>IFERROR(INDEX('Team Ratings'!$K$2:$K$73,MATCH($D8,'Team Ratings'!$A$2:$A$73,0)),"")</f>
        <v>18.100000000000001</v>
      </c>
      <c r="W8" s="59">
        <f>IFERROR(INDEX('Team Ratings'!$K$2:$K$73,MATCH($E8,'Team Ratings'!$A$2:$A$73,0)),"")</f>
        <v>15.8</v>
      </c>
      <c r="X8" s="59">
        <f>IFERROR(INDEX('Team Ratings'!$L$2:$L$73,MATCH($D8,'Team Ratings'!$A$2:$A$73,0)),"")</f>
        <v>31.1</v>
      </c>
      <c r="Y8" s="59">
        <f>IFERROR(INDEX('Team Ratings'!$L$2:$L$73,MATCH($E8,'Team Ratings'!$A$2:$A$73,0)),"")</f>
        <v>34.4</v>
      </c>
      <c r="Z8" s="59">
        <f>IFERROR(INDEX('Team Ratings'!$M$2:$M$73,MATCH($D8,'Team Ratings'!$A$2:$A$73,0)),"")</f>
        <v>32.4</v>
      </c>
      <c r="AA8" s="59">
        <f>IFERROR(INDEX('Team Ratings'!$M$2:$M$73,MATCH($E8,'Team Ratings'!$A$2:$A$73,0)),"")</f>
        <v>28.5</v>
      </c>
      <c r="AB8" s="59">
        <f>IFERROR(INDEX('Team Ratings'!$O$2:$O$73,MATCH($D8,'Team Ratings'!$A$2:$A$73,0)),"")</f>
        <v>38.200000000000003</v>
      </c>
      <c r="AC8" s="59">
        <f>IFERROR(INDEX('Team Ratings'!$O$2:$O$73,MATCH($E8,'Team Ratings'!$A$2:$A$73,0)),"")</f>
        <v>36.200000000000003</v>
      </c>
      <c r="AD8" s="59">
        <f>IFERROR(INDEX('Team Ratings'!$Q$2:$Q$73,MATCH($D8,'Team Ratings'!$A$2:$A$73,0)),"")</f>
        <v>-1</v>
      </c>
      <c r="AE8" s="59">
        <f>IFERROR(INDEX('Team Ratings'!$Q$2:$Q$73,MATCH($E8,'Team Ratings'!$A$2:$A$73,0)),"")</f>
        <v>-0.5</v>
      </c>
      <c r="AF8" s="56" t="s">
        <v>395</v>
      </c>
      <c r="AG8" s="56" t="s">
        <v>29</v>
      </c>
      <c r="AH8" s="57" t="s">
        <v>394</v>
      </c>
    </row>
    <row r="9" spans="1:34" ht="20" customHeight="1" x14ac:dyDescent="0.2">
      <c r="A9" s="56" t="s">
        <v>130</v>
      </c>
      <c r="B9" s="56" t="s">
        <v>201</v>
      </c>
      <c r="C9" s="56">
        <v>108</v>
      </c>
      <c r="D9" s="56" t="s">
        <v>37</v>
      </c>
      <c r="E9" s="56" t="s">
        <v>24</v>
      </c>
      <c r="F9" s="56" t="s">
        <v>24</v>
      </c>
      <c r="G9" s="56" t="s">
        <v>403</v>
      </c>
      <c r="H9" s="56" t="s">
        <v>236</v>
      </c>
      <c r="I9" s="57" t="s">
        <v>394</v>
      </c>
      <c r="J9" s="56">
        <f>IFERROR(INDEX('Team Ratings'!$B$2:$B$73,MATCH($D9,'Team Ratings'!$A$2:$A$73,0)),"")</f>
        <v>15</v>
      </c>
      <c r="K9" s="56">
        <f>IFERROR(INDEX('Team Ratings'!$B$2:$B$73,MATCH($E9,'Team Ratings'!$A$2:$A$73,0)),"")</f>
        <v>2</v>
      </c>
      <c r="L9" s="58">
        <f>IFERROR(INDEX('Team Ratings'!$D$2:$D$73,MATCH($D9,'Team Ratings'!$A$2:$A$73,0)),"")</f>
        <v>0.44419999999999998</v>
      </c>
      <c r="M9" s="58">
        <f>IFERROR(INDEX('Team Ratings'!$D$2:$D$73,MATCH($E9,'Team Ratings'!$A$2:$A$73,0)),"")</f>
        <v>0.95169999999999999</v>
      </c>
      <c r="N9" s="59">
        <f>IFERROR(INDEX('Team Ratings'!$E$2:$E$73,MATCH($D9,'Team Ratings'!$A$2:$A$73,0)),"")</f>
        <v>106.9</v>
      </c>
      <c r="O9" s="59">
        <f>IFERROR(INDEX('Team Ratings'!$E$2:$E$73,MATCH($E9,'Team Ratings'!$A$2:$A$73,0)),"")</f>
        <v>123.1</v>
      </c>
      <c r="P9" s="59">
        <f>IFERROR(INDEX('Team Ratings'!$F$2:$F$73,MATCH($D9,'Team Ratings'!$A$2:$A$73,0)),"")</f>
        <v>109</v>
      </c>
      <c r="Q9" s="59">
        <f>IFERROR(INDEX('Team Ratings'!$F$2:$F$73,MATCH($E9,'Team Ratings'!$A$2:$A$73,0)),"")</f>
        <v>95</v>
      </c>
      <c r="R9" s="59">
        <f>IFERROR(INDEX('Team Ratings'!$G$2:$G$73,MATCH($D9,'Team Ratings'!$A$2:$A$73,0)),"")</f>
        <v>-2.1</v>
      </c>
      <c r="S9" s="59">
        <f>IFERROR(INDEX('Team Ratings'!$G$2:$G$73,MATCH($E9,'Team Ratings'!$A$2:$A$73,0)),"")</f>
        <v>28.1</v>
      </c>
      <c r="T9" s="59">
        <f>IFERROR(INDEX('Team Ratings'!$H$2:$H$73,MATCH($D9,'Team Ratings'!$A$2:$A$73,0)),"")</f>
        <v>54.8</v>
      </c>
      <c r="U9" s="59">
        <f>IFERROR(INDEX('Team Ratings'!$H$2:$H$73,MATCH($E9,'Team Ratings'!$A$2:$A$73,0)),"")</f>
        <v>55.3</v>
      </c>
      <c r="V9" s="59">
        <f>IFERROR(INDEX('Team Ratings'!$K$2:$K$73,MATCH($D9,'Team Ratings'!$A$2:$A$73,0)),"")</f>
        <v>13.7</v>
      </c>
      <c r="W9" s="59">
        <f>IFERROR(INDEX('Team Ratings'!$K$2:$K$73,MATCH($E9,'Team Ratings'!$A$2:$A$73,0)),"")</f>
        <v>18</v>
      </c>
      <c r="X9" s="59">
        <f>IFERROR(INDEX('Team Ratings'!$L$2:$L$73,MATCH($D9,'Team Ratings'!$A$2:$A$73,0)),"")</f>
        <v>31</v>
      </c>
      <c r="Y9" s="59">
        <f>IFERROR(INDEX('Team Ratings'!$L$2:$L$73,MATCH($E9,'Team Ratings'!$A$2:$A$73,0)),"")</f>
        <v>35.700000000000003</v>
      </c>
      <c r="Z9" s="59">
        <f>IFERROR(INDEX('Team Ratings'!$M$2:$M$73,MATCH($D9,'Team Ratings'!$A$2:$A$73,0)),"")</f>
        <v>27.5</v>
      </c>
      <c r="AA9" s="59">
        <f>IFERROR(INDEX('Team Ratings'!$M$2:$M$73,MATCH($E9,'Team Ratings'!$A$2:$A$73,0)),"")</f>
        <v>28.7</v>
      </c>
      <c r="AB9" s="59">
        <f>IFERROR(INDEX('Team Ratings'!$O$2:$O$73,MATCH($D9,'Team Ratings'!$A$2:$A$73,0)),"")</f>
        <v>33.299999999999997</v>
      </c>
      <c r="AC9" s="59">
        <f>IFERROR(INDEX('Team Ratings'!$O$2:$O$73,MATCH($E9,'Team Ratings'!$A$2:$A$73,0)),"")</f>
        <v>35.200000000000003</v>
      </c>
      <c r="AD9" s="59">
        <f>IFERROR(INDEX('Team Ratings'!$Q$2:$Q$73,MATCH($D9,'Team Ratings'!$A$2:$A$73,0)),"")</f>
        <v>0</v>
      </c>
      <c r="AE9" s="59">
        <f>IFERROR(INDEX('Team Ratings'!$Q$2:$Q$73,MATCH($E9,'Team Ratings'!$A$2:$A$73,0)),"")</f>
        <v>0</v>
      </c>
      <c r="AF9" s="56" t="s">
        <v>395</v>
      </c>
      <c r="AG9" s="56" t="s">
        <v>24</v>
      </c>
      <c r="AH9" s="57" t="s">
        <v>394</v>
      </c>
    </row>
    <row r="10" spans="1:34" ht="20" customHeight="1" x14ac:dyDescent="0.2">
      <c r="A10" s="56" t="s">
        <v>128</v>
      </c>
      <c r="B10" s="56" t="s">
        <v>201</v>
      </c>
      <c r="C10" s="56">
        <v>109</v>
      </c>
      <c r="D10" s="56" t="s">
        <v>39</v>
      </c>
      <c r="E10" s="56" t="s">
        <v>58</v>
      </c>
      <c r="F10" s="56" t="s">
        <v>39</v>
      </c>
      <c r="G10" s="56" t="s">
        <v>404</v>
      </c>
      <c r="H10" s="56" t="s">
        <v>237</v>
      </c>
      <c r="I10" s="57" t="s">
        <v>394</v>
      </c>
      <c r="J10" s="56">
        <f>IFERROR(INDEX('Team Ratings'!$B$2:$B$73,MATCH($D10,'Team Ratings'!$A$2:$A$73,0)),"")</f>
        <v>1</v>
      </c>
      <c r="K10" s="56">
        <f>IFERROR(INDEX('Team Ratings'!$B$2:$B$73,MATCH($E10,'Team Ratings'!$A$2:$A$73,0)),"")</f>
        <v>16</v>
      </c>
      <c r="L10" s="58">
        <f>IFERROR(INDEX('Team Ratings'!$D$2:$D$73,MATCH($D10,'Team Ratings'!$A$2:$A$73,0)),"")</f>
        <v>0.97760000000000002</v>
      </c>
      <c r="M10" s="58">
        <f>IFERROR(INDEX('Team Ratings'!$D$2:$D$73,MATCH($E10,'Team Ratings'!$A$2:$A$73,0)),"")</f>
        <v>0.34039999999999998</v>
      </c>
      <c r="N10" s="59">
        <f>IFERROR(INDEX('Team Ratings'!$E$2:$E$73,MATCH($D10,'Team Ratings'!$A$2:$A$73,0)),"")</f>
        <v>126.9</v>
      </c>
      <c r="O10" s="59">
        <f>IFERROR(INDEX('Team Ratings'!$E$2:$E$73,MATCH($E10,'Team Ratings'!$A$2:$A$73,0)),"")</f>
        <v>103.6</v>
      </c>
      <c r="P10" s="59">
        <f>IFERROR(INDEX('Team Ratings'!$F$2:$F$73,MATCH($D10,'Team Ratings'!$A$2:$A$73,0)),"")</f>
        <v>91.4</v>
      </c>
      <c r="Q10" s="59">
        <f>IFERROR(INDEX('Team Ratings'!$F$2:$F$73,MATCH($E10,'Team Ratings'!$A$2:$A$73,0)),"")</f>
        <v>109.8</v>
      </c>
      <c r="R10" s="59">
        <f>IFERROR(INDEX('Team Ratings'!$G$2:$G$73,MATCH($D10,'Team Ratings'!$A$2:$A$73,0)),"")</f>
        <v>35.5</v>
      </c>
      <c r="S10" s="59">
        <f>IFERROR(INDEX('Team Ratings'!$G$2:$G$73,MATCH($E10,'Team Ratings'!$A$2:$A$73,0)),"")</f>
        <v>-6.2</v>
      </c>
      <c r="T10" s="59">
        <f>IFERROR(INDEX('Team Ratings'!$H$2:$H$73,MATCH($D10,'Team Ratings'!$A$2:$A$73,0)),"")</f>
        <v>55.1</v>
      </c>
      <c r="U10" s="59">
        <f>IFERROR(INDEX('Team Ratings'!$H$2:$H$73,MATCH($E10,'Team Ratings'!$A$2:$A$73,0)),"")</f>
        <v>53.3</v>
      </c>
      <c r="V10" s="59">
        <f>IFERROR(INDEX('Team Ratings'!$K$2:$K$73,MATCH($D10,'Team Ratings'!$A$2:$A$73,0)),"")</f>
        <v>16.7</v>
      </c>
      <c r="W10" s="59">
        <f>IFERROR(INDEX('Team Ratings'!$K$2:$K$73,MATCH($E10,'Team Ratings'!$A$2:$A$73,0)),"")</f>
        <v>18.899999999999999</v>
      </c>
      <c r="X10" s="59">
        <f>IFERROR(INDEX('Team Ratings'!$L$2:$L$73,MATCH($D10,'Team Ratings'!$A$2:$A$73,0)),"")</f>
        <v>38.1</v>
      </c>
      <c r="Y10" s="59">
        <f>IFERROR(INDEX('Team Ratings'!$L$2:$L$73,MATCH($E10,'Team Ratings'!$A$2:$A$73,0)),"")</f>
        <v>34.299999999999997</v>
      </c>
      <c r="Z10" s="59">
        <f>IFERROR(INDEX('Team Ratings'!$M$2:$M$73,MATCH($D10,'Team Ratings'!$A$2:$A$73,0)),"")</f>
        <v>26.9</v>
      </c>
      <c r="AA10" s="59">
        <f>IFERROR(INDEX('Team Ratings'!$M$2:$M$73,MATCH($E10,'Team Ratings'!$A$2:$A$73,0)),"")</f>
        <v>32.6</v>
      </c>
      <c r="AB10" s="59">
        <f>IFERROR(INDEX('Team Ratings'!$O$2:$O$73,MATCH($D10,'Team Ratings'!$A$2:$A$73,0)),"")</f>
        <v>36</v>
      </c>
      <c r="AC10" s="59">
        <f>IFERROR(INDEX('Team Ratings'!$O$2:$O$73,MATCH($E10,'Team Ratings'!$A$2:$A$73,0)),"")</f>
        <v>36.1</v>
      </c>
      <c r="AD10" s="59">
        <f>IFERROR(INDEX('Team Ratings'!$Q$2:$Q$73,MATCH($D10,'Team Ratings'!$A$2:$A$73,0)),"")</f>
        <v>0</v>
      </c>
      <c r="AE10" s="59">
        <f>IFERROR(INDEX('Team Ratings'!$Q$2:$Q$73,MATCH($E10,'Team Ratings'!$A$2:$A$73,0)),"")</f>
        <v>0</v>
      </c>
      <c r="AF10" s="56" t="s">
        <v>395</v>
      </c>
      <c r="AG10" s="56" t="s">
        <v>39</v>
      </c>
      <c r="AH10" s="57" t="s">
        <v>394</v>
      </c>
    </row>
    <row r="11" spans="1:34" ht="20" customHeight="1" x14ac:dyDescent="0.2">
      <c r="A11" s="56" t="s">
        <v>170</v>
      </c>
      <c r="B11" s="56" t="s">
        <v>201</v>
      </c>
      <c r="C11" s="56">
        <v>110</v>
      </c>
      <c r="D11" s="56" t="s">
        <v>48</v>
      </c>
      <c r="E11" s="56" t="s">
        <v>47</v>
      </c>
      <c r="F11" s="56" t="s">
        <v>48</v>
      </c>
      <c r="G11" s="56" t="s">
        <v>405</v>
      </c>
      <c r="H11" s="56" t="s">
        <v>238</v>
      </c>
      <c r="I11" s="57" t="s">
        <v>394</v>
      </c>
      <c r="J11" s="56">
        <f>IFERROR(INDEX('Team Ratings'!$B$2:$B$73,MATCH($D11,'Team Ratings'!$A$2:$A$73,0)),"")</f>
        <v>9</v>
      </c>
      <c r="K11" s="56">
        <f>IFERROR(INDEX('Team Ratings'!$B$2:$B$73,MATCH($E11,'Team Ratings'!$A$2:$A$73,0)),"")</f>
        <v>8</v>
      </c>
      <c r="L11" s="58">
        <f>IFERROR(INDEX('Team Ratings'!$D$2:$D$73,MATCH($D11,'Team Ratings'!$A$2:$A$73,0)),"")</f>
        <v>0.8952</v>
      </c>
      <c r="M11" s="58">
        <f>IFERROR(INDEX('Team Ratings'!$D$2:$D$73,MATCH($E11,'Team Ratings'!$A$2:$A$73,0)),"")</f>
        <v>0.88029999999999997</v>
      </c>
      <c r="N11" s="59">
        <f>IFERROR(INDEX('Team Ratings'!$E$2:$E$73,MATCH($D11,'Team Ratings'!$A$2:$A$73,0)),"")</f>
        <v>123</v>
      </c>
      <c r="O11" s="59">
        <f>IFERROR(INDEX('Team Ratings'!$E$2:$E$73,MATCH($E11,'Team Ratings'!$A$2:$A$73,0)),"")</f>
        <v>119.6</v>
      </c>
      <c r="P11" s="59">
        <f>IFERROR(INDEX('Team Ratings'!$F$2:$F$73,MATCH($D11,'Team Ratings'!$A$2:$A$73,0)),"")</f>
        <v>102.1</v>
      </c>
      <c r="Q11" s="59">
        <f>IFERROR(INDEX('Team Ratings'!$F$2:$F$73,MATCH($E11,'Team Ratings'!$A$2:$A$73,0)),"")</f>
        <v>100.5</v>
      </c>
      <c r="R11" s="59">
        <f>IFERROR(INDEX('Team Ratings'!$G$2:$G$73,MATCH($D11,'Team Ratings'!$A$2:$A$73,0)),"")</f>
        <v>20.9</v>
      </c>
      <c r="S11" s="59">
        <f>IFERROR(INDEX('Team Ratings'!$G$2:$G$73,MATCH($E11,'Team Ratings'!$A$2:$A$73,0)),"")</f>
        <v>19.100000000000001</v>
      </c>
      <c r="T11" s="59">
        <f>IFERROR(INDEX('Team Ratings'!$H$2:$H$73,MATCH($D11,'Team Ratings'!$A$2:$A$73,0)),"")</f>
        <v>56.6</v>
      </c>
      <c r="U11" s="59">
        <f>IFERROR(INDEX('Team Ratings'!$H$2:$H$73,MATCH($E11,'Team Ratings'!$A$2:$A$73,0)),"")</f>
        <v>53.7</v>
      </c>
      <c r="V11" s="59">
        <f>IFERROR(INDEX('Team Ratings'!$K$2:$K$73,MATCH($D11,'Team Ratings'!$A$2:$A$73,0)),"")</f>
        <v>20.6</v>
      </c>
      <c r="W11" s="59">
        <f>IFERROR(INDEX('Team Ratings'!$K$2:$K$73,MATCH($E11,'Team Ratings'!$A$2:$A$73,0)),"")</f>
        <v>18.7</v>
      </c>
      <c r="X11" s="59">
        <f>IFERROR(INDEX('Team Ratings'!$L$2:$L$73,MATCH($D11,'Team Ratings'!$A$2:$A$73,0)),"")</f>
        <v>33.1</v>
      </c>
      <c r="Y11" s="59">
        <f>IFERROR(INDEX('Team Ratings'!$L$2:$L$73,MATCH($E11,'Team Ratings'!$A$2:$A$73,0)),"")</f>
        <v>32.4</v>
      </c>
      <c r="Z11" s="59">
        <f>IFERROR(INDEX('Team Ratings'!$M$2:$M$73,MATCH($D11,'Team Ratings'!$A$2:$A$73,0)),"")</f>
        <v>32.200000000000003</v>
      </c>
      <c r="AA11" s="59">
        <f>IFERROR(INDEX('Team Ratings'!$M$2:$M$73,MATCH($E11,'Team Ratings'!$A$2:$A$73,0)),"")</f>
        <v>31.7</v>
      </c>
      <c r="AB11" s="59">
        <f>IFERROR(INDEX('Team Ratings'!$O$2:$O$73,MATCH($D11,'Team Ratings'!$A$2:$A$73,0)),"")</f>
        <v>35.1</v>
      </c>
      <c r="AC11" s="59">
        <f>IFERROR(INDEX('Team Ratings'!$O$2:$O$73,MATCH($E11,'Team Ratings'!$A$2:$A$73,0)),"")</f>
        <v>35.299999999999997</v>
      </c>
      <c r="AD11" s="59">
        <f>IFERROR(INDEX('Team Ratings'!$Q$2:$Q$73,MATCH($D11,'Team Ratings'!$A$2:$A$73,0)),"")</f>
        <v>0</v>
      </c>
      <c r="AE11" s="59">
        <f>IFERROR(INDEX('Team Ratings'!$Q$2:$Q$73,MATCH($E11,'Team Ratings'!$A$2:$A$73,0)),"")</f>
        <v>0</v>
      </c>
      <c r="AF11" s="56" t="s">
        <v>395</v>
      </c>
      <c r="AG11" s="56" t="s">
        <v>48</v>
      </c>
      <c r="AH11" s="57" t="s">
        <v>394</v>
      </c>
    </row>
    <row r="12" spans="1:34" ht="20" customHeight="1" x14ac:dyDescent="0.2">
      <c r="A12" s="56" t="s">
        <v>158</v>
      </c>
      <c r="B12" s="56" t="s">
        <v>201</v>
      </c>
      <c r="C12" s="56">
        <v>111</v>
      </c>
      <c r="D12" s="56" t="s">
        <v>44</v>
      </c>
      <c r="E12" s="56" t="s">
        <v>54</v>
      </c>
      <c r="F12" s="56" t="s">
        <v>54</v>
      </c>
      <c r="G12" s="56" t="s">
        <v>406</v>
      </c>
      <c r="H12" s="56" t="s">
        <v>239</v>
      </c>
      <c r="I12" s="57" t="s">
        <v>394</v>
      </c>
      <c r="J12" s="56">
        <f>IFERROR(INDEX('Team Ratings'!$B$2:$B$73,MATCH($D12,'Team Ratings'!$A$2:$A$73,0)),"")</f>
        <v>5</v>
      </c>
      <c r="K12" s="56">
        <f>IFERROR(INDEX('Team Ratings'!$B$2:$B$73,MATCH($E12,'Team Ratings'!$A$2:$A$73,0)),"")</f>
        <v>12</v>
      </c>
      <c r="L12" s="58">
        <f>IFERROR(INDEX('Team Ratings'!$D$2:$D$73,MATCH($D12,'Team Ratings'!$A$2:$A$73,0)),"")</f>
        <v>0.9294</v>
      </c>
      <c r="M12" s="58">
        <f>IFERROR(INDEX('Team Ratings'!$D$2:$D$73,MATCH($E12,'Team Ratings'!$A$2:$A$73,0)),"")</f>
        <v>0.69930000000000003</v>
      </c>
      <c r="N12" s="59">
        <f>IFERROR(INDEX('Team Ratings'!$E$2:$E$73,MATCH($D12,'Team Ratings'!$A$2:$A$73,0)),"")</f>
        <v>127.2</v>
      </c>
      <c r="O12" s="59">
        <f>IFERROR(INDEX('Team Ratings'!$E$2:$E$73,MATCH($E12,'Team Ratings'!$A$2:$A$73,0)),"")</f>
        <v>115.7</v>
      </c>
      <c r="P12" s="59">
        <f>IFERROR(INDEX('Team Ratings'!$F$2:$F$73,MATCH($D12,'Team Ratings'!$A$2:$A$73,0)),"")</f>
        <v>101.6</v>
      </c>
      <c r="Q12" s="59">
        <f>IFERROR(INDEX('Team Ratings'!$F$2:$F$73,MATCH($E12,'Team Ratings'!$A$2:$A$73,0)),"")</f>
        <v>107.5</v>
      </c>
      <c r="R12" s="59">
        <f>IFERROR(INDEX('Team Ratings'!$G$2:$G$73,MATCH($D12,'Team Ratings'!$A$2:$A$73,0)),"")</f>
        <v>25.6</v>
      </c>
      <c r="S12" s="59">
        <f>IFERROR(INDEX('Team Ratings'!$G$2:$G$73,MATCH($E12,'Team Ratings'!$A$2:$A$73,0)),"")</f>
        <v>8.1999999999999993</v>
      </c>
      <c r="T12" s="59">
        <f>IFERROR(INDEX('Team Ratings'!$H$2:$H$73,MATCH($D12,'Team Ratings'!$A$2:$A$73,0)),"")</f>
        <v>54.5</v>
      </c>
      <c r="U12" s="59">
        <f>IFERROR(INDEX('Team Ratings'!$H$2:$H$73,MATCH($E12,'Team Ratings'!$A$2:$A$73,0)),"")</f>
        <v>54.7</v>
      </c>
      <c r="V12" s="59">
        <f>IFERROR(INDEX('Team Ratings'!$K$2:$K$73,MATCH($D12,'Team Ratings'!$A$2:$A$73,0)),"")</f>
        <v>14.4</v>
      </c>
      <c r="W12" s="59">
        <f>IFERROR(INDEX('Team Ratings'!$K$2:$K$73,MATCH($E12,'Team Ratings'!$A$2:$A$73,0)),"")</f>
        <v>21.9</v>
      </c>
      <c r="X12" s="59">
        <f>IFERROR(INDEX('Team Ratings'!$L$2:$L$73,MATCH($D12,'Team Ratings'!$A$2:$A$73,0)),"")</f>
        <v>29.4</v>
      </c>
      <c r="Y12" s="59">
        <f>IFERROR(INDEX('Team Ratings'!$L$2:$L$73,MATCH($E12,'Team Ratings'!$A$2:$A$73,0)),"")</f>
        <v>32.1</v>
      </c>
      <c r="Z12" s="59">
        <f>IFERROR(INDEX('Team Ratings'!$M$2:$M$73,MATCH($D12,'Team Ratings'!$A$2:$A$73,0)),"")</f>
        <v>28.2</v>
      </c>
      <c r="AA12" s="59">
        <f>IFERROR(INDEX('Team Ratings'!$M$2:$M$73,MATCH($E12,'Team Ratings'!$A$2:$A$73,0)),"")</f>
        <v>31.7</v>
      </c>
      <c r="AB12" s="59">
        <f>IFERROR(INDEX('Team Ratings'!$O$2:$O$73,MATCH($D12,'Team Ratings'!$A$2:$A$73,0)),"")</f>
        <v>36.1</v>
      </c>
      <c r="AC12" s="59">
        <f>IFERROR(INDEX('Team Ratings'!$O$2:$O$73,MATCH($E12,'Team Ratings'!$A$2:$A$73,0)),"")</f>
        <v>34.4</v>
      </c>
      <c r="AD12" s="59">
        <f>IFERROR(INDEX('Team Ratings'!$Q$2:$Q$73,MATCH($D12,'Team Ratings'!$A$2:$A$73,0)),"")</f>
        <v>0</v>
      </c>
      <c r="AE12" s="59">
        <f>IFERROR(INDEX('Team Ratings'!$Q$2:$Q$73,MATCH($E12,'Team Ratings'!$A$2:$A$73,0)),"")</f>
        <v>0</v>
      </c>
      <c r="AF12" s="56" t="s">
        <v>395</v>
      </c>
      <c r="AG12" s="56" t="s">
        <v>44</v>
      </c>
      <c r="AH12" s="60" t="s">
        <v>397</v>
      </c>
    </row>
    <row r="13" spans="1:34" ht="20" customHeight="1" x14ac:dyDescent="0.2">
      <c r="A13" s="56" t="s">
        <v>153</v>
      </c>
      <c r="B13" s="56" t="s">
        <v>201</v>
      </c>
      <c r="C13" s="56">
        <v>112</v>
      </c>
      <c r="D13" s="56" t="s">
        <v>55</v>
      </c>
      <c r="E13" s="56" t="s">
        <v>43</v>
      </c>
      <c r="F13" s="56" t="s">
        <v>43</v>
      </c>
      <c r="G13" s="56" t="s">
        <v>407</v>
      </c>
      <c r="H13" s="56" t="s">
        <v>240</v>
      </c>
      <c r="I13" s="57" t="s">
        <v>394</v>
      </c>
      <c r="J13" s="56">
        <f>IFERROR(INDEX('Team Ratings'!$B$2:$B$73,MATCH($D13,'Team Ratings'!$A$2:$A$73,0)),"")</f>
        <v>13</v>
      </c>
      <c r="K13" s="56">
        <f>IFERROR(INDEX('Team Ratings'!$B$2:$B$73,MATCH($E13,'Team Ratings'!$A$2:$A$73,0)),"")</f>
        <v>4</v>
      </c>
      <c r="L13" s="58">
        <f>IFERROR(INDEX('Team Ratings'!$D$2:$D$73,MATCH($D13,'Team Ratings'!$A$2:$A$73,0)),"")</f>
        <v>0.63519999999999999</v>
      </c>
      <c r="M13" s="58">
        <f>IFERROR(INDEX('Team Ratings'!$D$2:$D$73,MATCH($E13,'Team Ratings'!$A$2:$A$73,0)),"")</f>
        <v>0.93369999999999997</v>
      </c>
      <c r="N13" s="59">
        <f>IFERROR(INDEX('Team Ratings'!$E$2:$E$73,MATCH($D13,'Team Ratings'!$A$2:$A$73,0)),"")</f>
        <v>106.9</v>
      </c>
      <c r="O13" s="59">
        <f>IFERROR(INDEX('Team Ratings'!$E$2:$E$73,MATCH($E13,'Team Ratings'!$A$2:$A$73,0)),"")</f>
        <v>127.9</v>
      </c>
      <c r="P13" s="59">
        <f>IFERROR(INDEX('Team Ratings'!$F$2:$F$73,MATCH($D13,'Team Ratings'!$A$2:$A$73,0)),"")</f>
        <v>101.8</v>
      </c>
      <c r="Q13" s="59">
        <f>IFERROR(INDEX('Team Ratings'!$F$2:$F$73,MATCH($E13,'Team Ratings'!$A$2:$A$73,0)),"")</f>
        <v>101.6</v>
      </c>
      <c r="R13" s="59">
        <f>IFERROR(INDEX('Team Ratings'!$G$2:$G$73,MATCH($D13,'Team Ratings'!$A$2:$A$73,0)),"")</f>
        <v>5.0999999999999996</v>
      </c>
      <c r="S13" s="59">
        <f>IFERROR(INDEX('Team Ratings'!$G$2:$G$73,MATCH($E13,'Team Ratings'!$A$2:$A$73,0)),"")</f>
        <v>26.3</v>
      </c>
      <c r="T13" s="59">
        <f>IFERROR(INDEX('Team Ratings'!$H$2:$H$73,MATCH($D13,'Team Ratings'!$A$2:$A$73,0)),"")</f>
        <v>52</v>
      </c>
      <c r="U13" s="59">
        <f>IFERROR(INDEX('Team Ratings'!$H$2:$H$73,MATCH($E13,'Team Ratings'!$A$2:$A$73,0)),"")</f>
        <v>56.5</v>
      </c>
      <c r="V13" s="59">
        <f>IFERROR(INDEX('Team Ratings'!$K$2:$K$73,MATCH($D13,'Team Ratings'!$A$2:$A$73,0)),"")</f>
        <v>16.899999999999999</v>
      </c>
      <c r="W13" s="59">
        <f>IFERROR(INDEX('Team Ratings'!$K$2:$K$73,MATCH($E13,'Team Ratings'!$A$2:$A$73,0)),"")</f>
        <v>15.7</v>
      </c>
      <c r="X13" s="59">
        <f>IFERROR(INDEX('Team Ratings'!$L$2:$L$73,MATCH($D13,'Team Ratings'!$A$2:$A$73,0)),"")</f>
        <v>31.4</v>
      </c>
      <c r="Y13" s="59">
        <f>IFERROR(INDEX('Team Ratings'!$L$2:$L$73,MATCH($E13,'Team Ratings'!$A$2:$A$73,0)),"")</f>
        <v>32.200000000000003</v>
      </c>
      <c r="Z13" s="59">
        <f>IFERROR(INDEX('Team Ratings'!$M$2:$M$73,MATCH($D13,'Team Ratings'!$A$2:$A$73,0)),"")</f>
        <v>25</v>
      </c>
      <c r="AA13" s="59">
        <f>IFERROR(INDEX('Team Ratings'!$M$2:$M$73,MATCH($E13,'Team Ratings'!$A$2:$A$73,0)),"")</f>
        <v>31.2</v>
      </c>
      <c r="AB13" s="59">
        <f>IFERROR(INDEX('Team Ratings'!$O$2:$O$73,MATCH($D13,'Team Ratings'!$A$2:$A$73,0)),"")</f>
        <v>31.6</v>
      </c>
      <c r="AC13" s="59">
        <f>IFERROR(INDEX('Team Ratings'!$O$2:$O$73,MATCH($E13,'Team Ratings'!$A$2:$A$73,0)),"")</f>
        <v>38.9</v>
      </c>
      <c r="AD13" s="59">
        <f>IFERROR(INDEX('Team Ratings'!$Q$2:$Q$73,MATCH($D13,'Team Ratings'!$A$2:$A$73,0)),"")</f>
        <v>0</v>
      </c>
      <c r="AE13" s="59">
        <f>IFERROR(INDEX('Team Ratings'!$Q$2:$Q$73,MATCH($E13,'Team Ratings'!$A$2:$A$73,0)),"")</f>
        <v>0</v>
      </c>
      <c r="AF13" s="56" t="s">
        <v>395</v>
      </c>
      <c r="AG13" s="56" t="s">
        <v>43</v>
      </c>
      <c r="AH13" s="57" t="s">
        <v>394</v>
      </c>
    </row>
    <row r="14" spans="1:34" ht="20" customHeight="1" x14ac:dyDescent="0.2">
      <c r="A14" s="56" t="s">
        <v>162</v>
      </c>
      <c r="B14" s="56" t="s">
        <v>201</v>
      </c>
      <c r="C14" s="56">
        <v>113</v>
      </c>
      <c r="D14" s="56" t="s">
        <v>45</v>
      </c>
      <c r="E14" s="56" t="s">
        <v>53</v>
      </c>
      <c r="F14" s="56" t="s">
        <v>53</v>
      </c>
      <c r="G14" s="56" t="s">
        <v>408</v>
      </c>
      <c r="H14" s="56" t="s">
        <v>241</v>
      </c>
      <c r="I14" s="57" t="s">
        <v>394</v>
      </c>
      <c r="J14" s="56">
        <f>IFERROR(INDEX('Team Ratings'!$B$2:$B$73,MATCH($D14,'Team Ratings'!$A$2:$A$73,0)),"")</f>
        <v>6</v>
      </c>
      <c r="K14" s="56">
        <f>IFERROR(INDEX('Team Ratings'!$B$2:$B$73,MATCH($E14,'Team Ratings'!$A$2:$A$73,0)),"")</f>
        <v>11</v>
      </c>
      <c r="L14" s="58">
        <f>IFERROR(INDEX('Team Ratings'!$D$2:$D$73,MATCH($D14,'Team Ratings'!$A$2:$A$73,0)),"")</f>
        <v>0.88660000000000005</v>
      </c>
      <c r="M14" s="58">
        <f>IFERROR(INDEX('Team Ratings'!$D$2:$D$73,MATCH($E14,'Team Ratings'!$A$2:$A$73,0)),"")</f>
        <v>0.85360000000000003</v>
      </c>
      <c r="N14" s="59">
        <f>IFERROR(INDEX('Team Ratings'!$E$2:$E$73,MATCH($D14,'Team Ratings'!$A$2:$A$73,0)),"")</f>
        <v>124.8</v>
      </c>
      <c r="O14" s="59">
        <f>IFERROR(INDEX('Team Ratings'!$E$2:$E$73,MATCH($E14,'Team Ratings'!$A$2:$A$73,0)),"")</f>
        <v>124</v>
      </c>
      <c r="P14" s="59">
        <f>IFERROR(INDEX('Team Ratings'!$F$2:$F$73,MATCH($D14,'Team Ratings'!$A$2:$A$73,0)),"")</f>
        <v>104.3</v>
      </c>
      <c r="Q14" s="59">
        <f>IFERROR(INDEX('Team Ratings'!$F$2:$F$73,MATCH($E14,'Team Ratings'!$A$2:$A$73,0)),"")</f>
        <v>106.4</v>
      </c>
      <c r="R14" s="59">
        <f>IFERROR(INDEX('Team Ratings'!$G$2:$G$73,MATCH($D14,'Team Ratings'!$A$2:$A$73,0)),"")</f>
        <v>20.5</v>
      </c>
      <c r="S14" s="59">
        <f>IFERROR(INDEX('Team Ratings'!$G$2:$G$73,MATCH($E14,'Team Ratings'!$A$2:$A$73,0)),"")</f>
        <v>17.600000000000001</v>
      </c>
      <c r="T14" s="59">
        <f>IFERROR(INDEX('Team Ratings'!$H$2:$H$73,MATCH($D14,'Team Ratings'!$A$2:$A$73,0)),"")</f>
        <v>54.7</v>
      </c>
      <c r="U14" s="59">
        <f>IFERROR(INDEX('Team Ratings'!$H$2:$H$73,MATCH($E14,'Team Ratings'!$A$2:$A$73,0)),"")</f>
        <v>54.2</v>
      </c>
      <c r="V14" s="59">
        <f>IFERROR(INDEX('Team Ratings'!$K$2:$K$73,MATCH($D14,'Team Ratings'!$A$2:$A$73,0)),"")</f>
        <v>16.5</v>
      </c>
      <c r="W14" s="59">
        <f>IFERROR(INDEX('Team Ratings'!$K$2:$K$73,MATCH($E14,'Team Ratings'!$A$2:$A$73,0)),"")</f>
        <v>13.4</v>
      </c>
      <c r="X14" s="59">
        <f>IFERROR(INDEX('Team Ratings'!$L$2:$L$73,MATCH($D14,'Team Ratings'!$A$2:$A$73,0)),"")</f>
        <v>34.6</v>
      </c>
      <c r="Y14" s="59">
        <f>IFERROR(INDEX('Team Ratings'!$L$2:$L$73,MATCH($E14,'Team Ratings'!$A$2:$A$73,0)),"")</f>
        <v>35.700000000000003</v>
      </c>
      <c r="Z14" s="59">
        <f>IFERROR(INDEX('Team Ratings'!$M$2:$M$73,MATCH($D14,'Team Ratings'!$A$2:$A$73,0)),"")</f>
        <v>29.3</v>
      </c>
      <c r="AA14" s="59">
        <f>IFERROR(INDEX('Team Ratings'!$M$2:$M$73,MATCH($E14,'Team Ratings'!$A$2:$A$73,0)),"")</f>
        <v>26.9</v>
      </c>
      <c r="AB14" s="59">
        <f>IFERROR(INDEX('Team Ratings'!$O$2:$O$73,MATCH($D14,'Team Ratings'!$A$2:$A$73,0)),"")</f>
        <v>34.9</v>
      </c>
      <c r="AC14" s="59">
        <f>IFERROR(INDEX('Team Ratings'!$O$2:$O$73,MATCH($E14,'Team Ratings'!$A$2:$A$73,0)),"")</f>
        <v>34.9</v>
      </c>
      <c r="AD14" s="59">
        <f>IFERROR(INDEX('Team Ratings'!$Q$2:$Q$73,MATCH($D14,'Team Ratings'!$A$2:$A$73,0)),"")</f>
        <v>0</v>
      </c>
      <c r="AE14" s="59">
        <f>IFERROR(INDEX('Team Ratings'!$Q$2:$Q$73,MATCH($E14,'Team Ratings'!$A$2:$A$73,0)),"")</f>
        <v>0</v>
      </c>
      <c r="AF14" s="56" t="s">
        <v>395</v>
      </c>
      <c r="AG14" s="56" t="s">
        <v>45</v>
      </c>
      <c r="AH14" s="60" t="s">
        <v>397</v>
      </c>
    </row>
    <row r="15" spans="1:34" ht="20" customHeight="1" x14ac:dyDescent="0.2">
      <c r="A15" s="56" t="s">
        <v>145</v>
      </c>
      <c r="B15" s="56" t="s">
        <v>201</v>
      </c>
      <c r="C15" s="56">
        <v>114</v>
      </c>
      <c r="D15" s="56" t="s">
        <v>56</v>
      </c>
      <c r="E15" s="56" t="s">
        <v>42</v>
      </c>
      <c r="F15" s="56" t="s">
        <v>42</v>
      </c>
      <c r="G15" s="56" t="s">
        <v>409</v>
      </c>
      <c r="H15" s="56" t="s">
        <v>242</v>
      </c>
      <c r="I15" s="57" t="s">
        <v>394</v>
      </c>
      <c r="J15" s="56">
        <f>IFERROR(INDEX('Team Ratings'!$B$2:$B$73,MATCH($D15,'Team Ratings'!$A$2:$A$73,0)),"")</f>
        <v>14</v>
      </c>
      <c r="K15" s="56">
        <f>IFERROR(INDEX('Team Ratings'!$B$2:$B$73,MATCH($E15,'Team Ratings'!$A$2:$A$73,0)),"")</f>
        <v>3</v>
      </c>
      <c r="L15" s="58">
        <f>IFERROR(INDEX('Team Ratings'!$D$2:$D$73,MATCH($D15,'Team Ratings'!$A$2:$A$73,0)),"")</f>
        <v>0.53380000000000005</v>
      </c>
      <c r="M15" s="58">
        <f>IFERROR(INDEX('Team Ratings'!$D$2:$D$73,MATCH($E15,'Team Ratings'!$A$2:$A$73,0)),"")</f>
        <v>0.9446</v>
      </c>
      <c r="N15" s="59">
        <f>IFERROR(INDEX('Team Ratings'!$E$2:$E$73,MATCH($D15,'Team Ratings'!$A$2:$A$73,0)),"")</f>
        <v>110.8</v>
      </c>
      <c r="O15" s="59">
        <f>IFERROR(INDEX('Team Ratings'!$E$2:$E$73,MATCH($E15,'Team Ratings'!$A$2:$A$73,0)),"")</f>
        <v>120.3</v>
      </c>
      <c r="P15" s="59">
        <f>IFERROR(INDEX('Team Ratings'!$F$2:$F$73,MATCH($D15,'Team Ratings'!$A$2:$A$73,0)),"")</f>
        <v>109.5</v>
      </c>
      <c r="Q15" s="59">
        <f>IFERROR(INDEX('Team Ratings'!$F$2:$F$73,MATCH($E15,'Team Ratings'!$A$2:$A$73,0)),"")</f>
        <v>94</v>
      </c>
      <c r="R15" s="59">
        <f>IFERROR(INDEX('Team Ratings'!$G$2:$G$73,MATCH($D15,'Team Ratings'!$A$2:$A$73,0)),"")</f>
        <v>1.3</v>
      </c>
      <c r="S15" s="59">
        <f>IFERROR(INDEX('Team Ratings'!$G$2:$G$73,MATCH($E15,'Team Ratings'!$A$2:$A$73,0)),"")</f>
        <v>26.3</v>
      </c>
      <c r="T15" s="59">
        <f>IFERROR(INDEX('Team Ratings'!$H$2:$H$73,MATCH($D15,'Team Ratings'!$A$2:$A$73,0)),"")</f>
        <v>50.7</v>
      </c>
      <c r="U15" s="59">
        <f>IFERROR(INDEX('Team Ratings'!$H$2:$H$73,MATCH($E15,'Team Ratings'!$A$2:$A$73,0)),"")</f>
        <v>56.3</v>
      </c>
      <c r="V15" s="59">
        <f>IFERROR(INDEX('Team Ratings'!$K$2:$K$73,MATCH($D15,'Team Ratings'!$A$2:$A$73,0)),"")</f>
        <v>16.100000000000001</v>
      </c>
      <c r="W15" s="59">
        <f>IFERROR(INDEX('Team Ratings'!$K$2:$K$73,MATCH($E15,'Team Ratings'!$A$2:$A$73,0)),"")</f>
        <v>20.5</v>
      </c>
      <c r="X15" s="59">
        <f>IFERROR(INDEX('Team Ratings'!$L$2:$L$73,MATCH($D15,'Team Ratings'!$A$2:$A$73,0)),"")</f>
        <v>35.5</v>
      </c>
      <c r="Y15" s="59">
        <f>IFERROR(INDEX('Team Ratings'!$L$2:$L$73,MATCH($E15,'Team Ratings'!$A$2:$A$73,0)),"")</f>
        <v>34.799999999999997</v>
      </c>
      <c r="Z15" s="59">
        <f>IFERROR(INDEX('Team Ratings'!$M$2:$M$73,MATCH($D15,'Team Ratings'!$A$2:$A$73,0)),"")</f>
        <v>31.3</v>
      </c>
      <c r="AA15" s="59">
        <f>IFERROR(INDEX('Team Ratings'!$M$2:$M$73,MATCH($E15,'Team Ratings'!$A$2:$A$73,0)),"")</f>
        <v>25.9</v>
      </c>
      <c r="AB15" s="59">
        <f>IFERROR(INDEX('Team Ratings'!$O$2:$O$73,MATCH($D15,'Team Ratings'!$A$2:$A$73,0)),"")</f>
        <v>33.700000000000003</v>
      </c>
      <c r="AC15" s="59">
        <f>IFERROR(INDEX('Team Ratings'!$O$2:$O$73,MATCH($E15,'Team Ratings'!$A$2:$A$73,0)),"")</f>
        <v>34</v>
      </c>
      <c r="AD15" s="59">
        <f>IFERROR(INDEX('Team Ratings'!$Q$2:$Q$73,MATCH($D15,'Team Ratings'!$A$2:$A$73,0)),"")</f>
        <v>0</v>
      </c>
      <c r="AE15" s="59">
        <f>IFERROR(INDEX('Team Ratings'!$Q$2:$Q$73,MATCH($E15,'Team Ratings'!$A$2:$A$73,0)),"")</f>
        <v>0</v>
      </c>
      <c r="AF15" s="56" t="s">
        <v>395</v>
      </c>
      <c r="AG15" s="56" t="s">
        <v>42</v>
      </c>
      <c r="AH15" s="57" t="s">
        <v>394</v>
      </c>
    </row>
    <row r="16" spans="1:34" ht="20" customHeight="1" x14ac:dyDescent="0.2">
      <c r="A16" s="56" t="s">
        <v>166</v>
      </c>
      <c r="B16" s="56" t="s">
        <v>201</v>
      </c>
      <c r="C16" s="56">
        <v>115</v>
      </c>
      <c r="D16" s="56" t="s">
        <v>46</v>
      </c>
      <c r="E16" s="56" t="s">
        <v>49</v>
      </c>
      <c r="F16" s="56" t="s">
        <v>46</v>
      </c>
      <c r="G16" s="56" t="s">
        <v>410</v>
      </c>
      <c r="H16" s="56" t="s">
        <v>243</v>
      </c>
      <c r="I16" s="57" t="s">
        <v>394</v>
      </c>
      <c r="J16" s="56">
        <f>IFERROR(INDEX('Team Ratings'!$B$2:$B$73,MATCH($D16,'Team Ratings'!$A$2:$A$73,0)),"")</f>
        <v>7</v>
      </c>
      <c r="K16" s="56">
        <f>IFERROR(INDEX('Team Ratings'!$B$2:$B$73,MATCH($E16,'Team Ratings'!$A$2:$A$73,0)),"")</f>
        <v>10</v>
      </c>
      <c r="L16" s="58">
        <f>IFERROR(INDEX('Team Ratings'!$D$2:$D$73,MATCH($D16,'Team Ratings'!$A$2:$A$73,0)),"")</f>
        <v>0.88439999999999996</v>
      </c>
      <c r="M16" s="58">
        <f>IFERROR(INDEX('Team Ratings'!$D$2:$D$73,MATCH($E16,'Team Ratings'!$A$2:$A$73,0)),"")</f>
        <v>0.85150000000000003</v>
      </c>
      <c r="N16" s="59">
        <f>IFERROR(INDEX('Team Ratings'!$E$2:$E$73,MATCH($D16,'Team Ratings'!$A$2:$A$73,0)),"")</f>
        <v>121.1</v>
      </c>
      <c r="O16" s="59">
        <f>IFERROR(INDEX('Team Ratings'!$E$2:$E$73,MATCH($E16,'Team Ratings'!$A$2:$A$73,0)),"")</f>
        <v>119.9</v>
      </c>
      <c r="P16" s="59">
        <f>IFERROR(INDEX('Team Ratings'!$F$2:$F$73,MATCH($D16,'Team Ratings'!$A$2:$A$73,0)),"")</f>
        <v>101.5</v>
      </c>
      <c r="Q16" s="59">
        <f>IFERROR(INDEX('Team Ratings'!$F$2:$F$73,MATCH($E16,'Team Ratings'!$A$2:$A$73,0)),"")</f>
        <v>103</v>
      </c>
      <c r="R16" s="59">
        <f>IFERROR(INDEX('Team Ratings'!$G$2:$G$73,MATCH($D16,'Team Ratings'!$A$2:$A$73,0)),"")</f>
        <v>19.600000000000001</v>
      </c>
      <c r="S16" s="59">
        <f>IFERROR(INDEX('Team Ratings'!$G$2:$G$73,MATCH($E16,'Team Ratings'!$A$2:$A$73,0)),"")</f>
        <v>16.899999999999999</v>
      </c>
      <c r="T16" s="59">
        <f>IFERROR(INDEX('Team Ratings'!$H$2:$H$73,MATCH($D16,'Team Ratings'!$A$2:$A$73,0)),"")</f>
        <v>55.6</v>
      </c>
      <c r="U16" s="59">
        <f>IFERROR(INDEX('Team Ratings'!$H$2:$H$73,MATCH($E16,'Team Ratings'!$A$2:$A$73,0)),"")</f>
        <v>55.3</v>
      </c>
      <c r="V16" s="59">
        <f>IFERROR(INDEX('Team Ratings'!$K$2:$K$73,MATCH($D16,'Team Ratings'!$A$2:$A$73,0)),"")</f>
        <v>18.399999999999999</v>
      </c>
      <c r="W16" s="59">
        <f>IFERROR(INDEX('Team Ratings'!$K$2:$K$73,MATCH($E16,'Team Ratings'!$A$2:$A$73,0)),"")</f>
        <v>16.600000000000001</v>
      </c>
      <c r="X16" s="59">
        <f>IFERROR(INDEX('Team Ratings'!$L$2:$L$73,MATCH($D16,'Team Ratings'!$A$2:$A$73,0)),"")</f>
        <v>37</v>
      </c>
      <c r="Y16" s="59">
        <f>IFERROR(INDEX('Team Ratings'!$L$2:$L$73,MATCH($E16,'Team Ratings'!$A$2:$A$73,0)),"")</f>
        <v>35.5</v>
      </c>
      <c r="Z16" s="59">
        <f>IFERROR(INDEX('Team Ratings'!$M$2:$M$73,MATCH($D16,'Team Ratings'!$A$2:$A$73,0)),"")</f>
        <v>26.3</v>
      </c>
      <c r="AA16" s="59">
        <f>IFERROR(INDEX('Team Ratings'!$M$2:$M$73,MATCH($E16,'Team Ratings'!$A$2:$A$73,0)),"")</f>
        <v>31.4</v>
      </c>
      <c r="AB16" s="59">
        <f>IFERROR(INDEX('Team Ratings'!$O$2:$O$73,MATCH($D16,'Team Ratings'!$A$2:$A$73,0)),"")</f>
        <v>34.700000000000003</v>
      </c>
      <c r="AC16" s="59">
        <f>IFERROR(INDEX('Team Ratings'!$O$2:$O$73,MATCH($E16,'Team Ratings'!$A$2:$A$73,0)),"")</f>
        <v>35</v>
      </c>
      <c r="AD16" s="59">
        <f>IFERROR(INDEX('Team Ratings'!$Q$2:$Q$73,MATCH($D16,'Team Ratings'!$A$2:$A$73,0)),"")</f>
        <v>0</v>
      </c>
      <c r="AE16" s="59">
        <f>IFERROR(INDEX('Team Ratings'!$Q$2:$Q$73,MATCH($E16,'Team Ratings'!$A$2:$A$73,0)),"")</f>
        <v>0</v>
      </c>
      <c r="AF16" s="56" t="s">
        <v>395</v>
      </c>
      <c r="AG16" s="56" t="s">
        <v>46</v>
      </c>
      <c r="AH16" s="57" t="s">
        <v>394</v>
      </c>
    </row>
    <row r="17" spans="1:34" ht="20" customHeight="1" x14ac:dyDescent="0.2">
      <c r="A17" s="56" t="s">
        <v>137</v>
      </c>
      <c r="B17" s="56" t="s">
        <v>201</v>
      </c>
      <c r="C17" s="56">
        <v>116</v>
      </c>
      <c r="D17" s="56" t="s">
        <v>57</v>
      </c>
      <c r="E17" s="56" t="s">
        <v>41</v>
      </c>
      <c r="F17" s="56" t="s">
        <v>41</v>
      </c>
      <c r="G17" s="56" t="s">
        <v>411</v>
      </c>
      <c r="H17" s="56" t="s">
        <v>244</v>
      </c>
      <c r="I17" s="57" t="s">
        <v>394</v>
      </c>
      <c r="J17" s="56">
        <f>IFERROR(INDEX('Team Ratings'!$B$2:$B$73,MATCH($D17,'Team Ratings'!$A$2:$A$73,0)),"")</f>
        <v>15</v>
      </c>
      <c r="K17" s="56">
        <f>IFERROR(INDEX('Team Ratings'!$B$2:$B$73,MATCH($E17,'Team Ratings'!$A$2:$A$73,0)),"")</f>
        <v>2</v>
      </c>
      <c r="L17" s="58">
        <f>IFERROR(INDEX('Team Ratings'!$D$2:$D$73,MATCH($D17,'Team Ratings'!$A$2:$A$73,0)),"")</f>
        <v>0.43990000000000001</v>
      </c>
      <c r="M17" s="58">
        <f>IFERROR(INDEX('Team Ratings'!$D$2:$D$73,MATCH($E17,'Team Ratings'!$A$2:$A$73,0)),"")</f>
        <v>0.96360000000000001</v>
      </c>
      <c r="N17" s="59">
        <f>IFERROR(INDEX('Team Ratings'!$E$2:$E$73,MATCH($D17,'Team Ratings'!$A$2:$A$73,0)),"")</f>
        <v>114.7</v>
      </c>
      <c r="O17" s="59">
        <f>IFERROR(INDEX('Team Ratings'!$E$2:$E$73,MATCH($E17,'Team Ratings'!$A$2:$A$73,0)),"")</f>
        <v>133.30000000000001</v>
      </c>
      <c r="P17" s="59">
        <f>IFERROR(INDEX('Team Ratings'!$F$2:$F$73,MATCH($D17,'Team Ratings'!$A$2:$A$73,0)),"")</f>
        <v>117.1</v>
      </c>
      <c r="Q17" s="59">
        <f>IFERROR(INDEX('Team Ratings'!$F$2:$F$73,MATCH($E17,'Team Ratings'!$A$2:$A$73,0)),"")</f>
        <v>100.3</v>
      </c>
      <c r="R17" s="59">
        <f>IFERROR(INDEX('Team Ratings'!$G$2:$G$73,MATCH($D17,'Team Ratings'!$A$2:$A$73,0)),"")</f>
        <v>-2.4</v>
      </c>
      <c r="S17" s="59">
        <f>IFERROR(INDEX('Team Ratings'!$G$2:$G$73,MATCH($E17,'Team Ratings'!$A$2:$A$73,0)),"")</f>
        <v>33</v>
      </c>
      <c r="T17" s="59">
        <f>IFERROR(INDEX('Team Ratings'!$H$2:$H$73,MATCH($D17,'Team Ratings'!$A$2:$A$73,0)),"")</f>
        <v>56.6</v>
      </c>
      <c r="U17" s="59">
        <f>IFERROR(INDEX('Team Ratings'!$H$2:$H$73,MATCH($E17,'Team Ratings'!$A$2:$A$73,0)),"")</f>
        <v>57.6</v>
      </c>
      <c r="V17" s="59">
        <f>IFERROR(INDEX('Team Ratings'!$K$2:$K$73,MATCH($D17,'Team Ratings'!$A$2:$A$73,0)),"")</f>
        <v>15</v>
      </c>
      <c r="W17" s="59">
        <f>IFERROR(INDEX('Team Ratings'!$K$2:$K$73,MATCH($E17,'Team Ratings'!$A$2:$A$73,0)),"")</f>
        <v>15.6</v>
      </c>
      <c r="X17" s="59">
        <f>IFERROR(INDEX('Team Ratings'!$L$2:$L$73,MATCH($D17,'Team Ratings'!$A$2:$A$73,0)),"")</f>
        <v>30.4</v>
      </c>
      <c r="Y17" s="59">
        <f>IFERROR(INDEX('Team Ratings'!$L$2:$L$73,MATCH($E17,'Team Ratings'!$A$2:$A$73,0)),"")</f>
        <v>36.299999999999997</v>
      </c>
      <c r="Z17" s="59">
        <f>IFERROR(INDEX('Team Ratings'!$M$2:$M$73,MATCH($D17,'Team Ratings'!$A$2:$A$73,0)),"")</f>
        <v>33</v>
      </c>
      <c r="AA17" s="59">
        <f>IFERROR(INDEX('Team Ratings'!$M$2:$M$73,MATCH($E17,'Team Ratings'!$A$2:$A$73,0)),"")</f>
        <v>26.4</v>
      </c>
      <c r="AB17" s="59">
        <f>IFERROR(INDEX('Team Ratings'!$O$2:$O$73,MATCH($D17,'Team Ratings'!$A$2:$A$73,0)),"")</f>
        <v>35.9</v>
      </c>
      <c r="AC17" s="59">
        <f>IFERROR(INDEX('Team Ratings'!$O$2:$O$73,MATCH($E17,'Team Ratings'!$A$2:$A$73,0)),"")</f>
        <v>37.9</v>
      </c>
      <c r="AD17" s="59">
        <f>IFERROR(INDEX('Team Ratings'!$Q$2:$Q$73,MATCH($D17,'Team Ratings'!$A$2:$A$73,0)),"")</f>
        <v>0</v>
      </c>
      <c r="AE17" s="59">
        <f>IFERROR(INDEX('Team Ratings'!$Q$2:$Q$73,MATCH($E17,'Team Ratings'!$A$2:$A$73,0)),"")</f>
        <v>0</v>
      </c>
      <c r="AF17" s="56" t="s">
        <v>395</v>
      </c>
      <c r="AG17" s="56" t="s">
        <v>41</v>
      </c>
      <c r="AH17" s="57" t="s">
        <v>394</v>
      </c>
    </row>
    <row r="18" spans="1:34" ht="20" customHeight="1" x14ac:dyDescent="0.2">
      <c r="A18" s="56" t="s">
        <v>126</v>
      </c>
      <c r="B18" s="56" t="s">
        <v>201</v>
      </c>
      <c r="C18" s="56">
        <v>117</v>
      </c>
      <c r="D18" s="56" t="s">
        <v>77</v>
      </c>
      <c r="E18" s="56" t="s">
        <v>59</v>
      </c>
      <c r="F18" s="56" t="s">
        <v>59</v>
      </c>
      <c r="G18" s="56" t="s">
        <v>412</v>
      </c>
      <c r="H18" s="56" t="s">
        <v>245</v>
      </c>
      <c r="I18" s="57" t="s">
        <v>394</v>
      </c>
      <c r="J18" s="56">
        <f>IFERROR(INDEX('Team Ratings'!$B$2:$B$73,MATCH($D18,'Team Ratings'!$A$2:$A$73,0)),"")</f>
        <v>16</v>
      </c>
      <c r="K18" s="56">
        <f>IFERROR(INDEX('Team Ratings'!$B$2:$B$73,MATCH($E18,'Team Ratings'!$A$2:$A$73,0)),"")</f>
        <v>1</v>
      </c>
      <c r="L18" s="58">
        <f>IFERROR(INDEX('Team Ratings'!$D$2:$D$73,MATCH($D18,'Team Ratings'!$A$2:$A$73,0)),"")</f>
        <v>0.25509999999999999</v>
      </c>
      <c r="M18" s="58">
        <f>IFERROR(INDEX('Team Ratings'!$D$2:$D$73,MATCH($E18,'Team Ratings'!$A$2:$A$73,0)),"")</f>
        <v>0.97319999999999995</v>
      </c>
      <c r="N18" s="59">
        <f>IFERROR(INDEX('Team Ratings'!$E$2:$E$73,MATCH($D18,'Team Ratings'!$A$2:$A$73,0)),"")</f>
        <v>101.5</v>
      </c>
      <c r="O18" s="59">
        <f>IFERROR(INDEX('Team Ratings'!$E$2:$E$73,MATCH($E18,'Team Ratings'!$A$2:$A$73,0)),"")</f>
        <v>126.1</v>
      </c>
      <c r="P18" s="59">
        <f>IFERROR(INDEX('Team Ratings'!$F$2:$F$73,MATCH($D18,'Team Ratings'!$A$2:$A$73,0)),"")</f>
        <v>111.4</v>
      </c>
      <c r="Q18" s="59">
        <f>IFERROR(INDEX('Team Ratings'!$F$2:$F$73,MATCH($E18,'Team Ratings'!$A$2:$A$73,0)),"")</f>
        <v>92.3</v>
      </c>
      <c r="R18" s="59">
        <f>IFERROR(INDEX('Team Ratings'!$G$2:$G$73,MATCH($D18,'Team Ratings'!$A$2:$A$73,0)),"")</f>
        <v>-9.9</v>
      </c>
      <c r="S18" s="59">
        <f>IFERROR(INDEX('Team Ratings'!$G$2:$G$73,MATCH($E18,'Team Ratings'!$A$2:$A$73,0)),"")</f>
        <v>33.799999999999997</v>
      </c>
      <c r="T18" s="59">
        <f>IFERROR(INDEX('Team Ratings'!$H$2:$H$73,MATCH($D18,'Team Ratings'!$A$2:$A$73,0)),"")</f>
        <v>47.9</v>
      </c>
      <c r="U18" s="59">
        <f>IFERROR(INDEX('Team Ratings'!$H$2:$H$73,MATCH($E18,'Team Ratings'!$A$2:$A$73,0)),"")</f>
        <v>53.5</v>
      </c>
      <c r="V18" s="59">
        <f>IFERROR(INDEX('Team Ratings'!$K$2:$K$73,MATCH($D18,'Team Ratings'!$A$2:$A$73,0)),"")</f>
        <v>19.100000000000001</v>
      </c>
      <c r="W18" s="59">
        <f>IFERROR(INDEX('Team Ratings'!$K$2:$K$73,MATCH($E18,'Team Ratings'!$A$2:$A$73,0)),"")</f>
        <v>15.4</v>
      </c>
      <c r="X18" s="59">
        <f>IFERROR(INDEX('Team Ratings'!$L$2:$L$73,MATCH($D18,'Team Ratings'!$A$2:$A$73,0)),"")</f>
        <v>27.1</v>
      </c>
      <c r="Y18" s="59">
        <f>IFERROR(INDEX('Team Ratings'!$L$2:$L$73,MATCH($E18,'Team Ratings'!$A$2:$A$73,0)),"")</f>
        <v>43.2</v>
      </c>
      <c r="Z18" s="59">
        <f>IFERROR(INDEX('Team Ratings'!$M$2:$M$73,MATCH($D18,'Team Ratings'!$A$2:$A$73,0)),"")</f>
        <v>34.799999999999997</v>
      </c>
      <c r="AA18" s="59">
        <f>IFERROR(INDEX('Team Ratings'!$M$2:$M$73,MATCH($E18,'Team Ratings'!$A$2:$A$73,0)),"")</f>
        <v>24.8</v>
      </c>
      <c r="AB18" s="59">
        <f>IFERROR(INDEX('Team Ratings'!$O$2:$O$73,MATCH($D18,'Team Ratings'!$A$2:$A$73,0)),"")</f>
        <v>33.200000000000003</v>
      </c>
      <c r="AC18" s="59">
        <f>IFERROR(INDEX('Team Ratings'!$O$2:$O$73,MATCH($E18,'Team Ratings'!$A$2:$A$73,0)),"")</f>
        <v>30.8</v>
      </c>
      <c r="AD18" s="59">
        <f>IFERROR(INDEX('Team Ratings'!$Q$2:$Q$73,MATCH($D18,'Team Ratings'!$A$2:$A$73,0)),"")</f>
        <v>0</v>
      </c>
      <c r="AE18" s="59">
        <f>IFERROR(INDEX('Team Ratings'!$Q$2:$Q$73,MATCH($E18,'Team Ratings'!$A$2:$A$73,0)),"")</f>
        <v>0</v>
      </c>
      <c r="AF18" s="56" t="s">
        <v>395</v>
      </c>
      <c r="AG18" s="56" t="s">
        <v>59</v>
      </c>
      <c r="AH18" s="57" t="s">
        <v>394</v>
      </c>
    </row>
    <row r="19" spans="1:34" ht="20" customHeight="1" x14ac:dyDescent="0.2">
      <c r="A19" s="56" t="s">
        <v>169</v>
      </c>
      <c r="B19" s="56" t="s">
        <v>201</v>
      </c>
      <c r="C19" s="56">
        <v>118</v>
      </c>
      <c r="D19" s="56" t="s">
        <v>67</v>
      </c>
      <c r="E19" s="56" t="s">
        <v>68</v>
      </c>
      <c r="F19" s="56" t="s">
        <v>68</v>
      </c>
      <c r="G19" s="56" t="s">
        <v>413</v>
      </c>
      <c r="H19" s="56" t="s">
        <v>246</v>
      </c>
      <c r="I19" s="57" t="s">
        <v>394</v>
      </c>
      <c r="J19" s="56">
        <f>IFERROR(INDEX('Team Ratings'!$B$2:$B$73,MATCH($D19,'Team Ratings'!$A$2:$A$73,0)),"")</f>
        <v>8</v>
      </c>
      <c r="K19" s="56">
        <f>IFERROR(INDEX('Team Ratings'!$B$2:$B$73,MATCH($E19,'Team Ratings'!$A$2:$A$73,0)),"")</f>
        <v>9</v>
      </c>
      <c r="L19" s="58">
        <f>IFERROR(INDEX('Team Ratings'!$D$2:$D$73,MATCH($D19,'Team Ratings'!$A$2:$A$73,0)),"")</f>
        <v>0.8921</v>
      </c>
      <c r="M19" s="58">
        <f>IFERROR(INDEX('Team Ratings'!$D$2:$D$73,MATCH($E19,'Team Ratings'!$A$2:$A$73,0)),"")</f>
        <v>0.90680000000000005</v>
      </c>
      <c r="N19" s="59">
        <f>IFERROR(INDEX('Team Ratings'!$E$2:$E$73,MATCH($D19,'Team Ratings'!$A$2:$A$73,0)),"")</f>
        <v>116.6</v>
      </c>
      <c r="O19" s="59">
        <f>IFERROR(INDEX('Team Ratings'!$E$2:$E$73,MATCH($E19,'Team Ratings'!$A$2:$A$73,0)),"")</f>
        <v>122.1</v>
      </c>
      <c r="P19" s="59">
        <f>IFERROR(INDEX('Team Ratings'!$F$2:$F$73,MATCH($D19,'Team Ratings'!$A$2:$A$73,0)),"")</f>
        <v>97</v>
      </c>
      <c r="Q19" s="59">
        <f>IFERROR(INDEX('Team Ratings'!$F$2:$F$73,MATCH($E19,'Team Ratings'!$A$2:$A$73,0)),"")</f>
        <v>100.2</v>
      </c>
      <c r="R19" s="59">
        <f>IFERROR(INDEX('Team Ratings'!$G$2:$G$73,MATCH($D19,'Team Ratings'!$A$2:$A$73,0)),"")</f>
        <v>19.600000000000001</v>
      </c>
      <c r="S19" s="59">
        <f>IFERROR(INDEX('Team Ratings'!$G$2:$G$73,MATCH($E19,'Team Ratings'!$A$2:$A$73,0)),"")</f>
        <v>21.9</v>
      </c>
      <c r="T19" s="59">
        <f>IFERROR(INDEX('Team Ratings'!$H$2:$H$73,MATCH($D19,'Team Ratings'!$A$2:$A$73,0)),"")</f>
        <v>52.6</v>
      </c>
      <c r="U19" s="59">
        <f>IFERROR(INDEX('Team Ratings'!$H$2:$H$73,MATCH($E19,'Team Ratings'!$A$2:$A$73,0)),"")</f>
        <v>56.6</v>
      </c>
      <c r="V19" s="59">
        <f>IFERROR(INDEX('Team Ratings'!$K$2:$K$73,MATCH($D19,'Team Ratings'!$A$2:$A$73,0)),"")</f>
        <v>17.5</v>
      </c>
      <c r="W19" s="59">
        <f>IFERROR(INDEX('Team Ratings'!$K$2:$K$73,MATCH($E19,'Team Ratings'!$A$2:$A$73,0)),"")</f>
        <v>21</v>
      </c>
      <c r="X19" s="59">
        <f>IFERROR(INDEX('Team Ratings'!$L$2:$L$73,MATCH($D19,'Team Ratings'!$A$2:$A$73,0)),"")</f>
        <v>28.1</v>
      </c>
      <c r="Y19" s="59">
        <f>IFERROR(INDEX('Team Ratings'!$L$2:$L$73,MATCH($E19,'Team Ratings'!$A$2:$A$73,0)),"")</f>
        <v>30.1</v>
      </c>
      <c r="Z19" s="59">
        <f>IFERROR(INDEX('Team Ratings'!$M$2:$M$73,MATCH($D19,'Team Ratings'!$A$2:$A$73,0)),"")</f>
        <v>25.7</v>
      </c>
      <c r="AA19" s="59">
        <f>IFERROR(INDEX('Team Ratings'!$M$2:$M$73,MATCH($E19,'Team Ratings'!$A$2:$A$73,0)),"")</f>
        <v>28</v>
      </c>
      <c r="AB19" s="59">
        <f>IFERROR(INDEX('Team Ratings'!$O$2:$O$73,MATCH($D19,'Team Ratings'!$A$2:$A$73,0)),"")</f>
        <v>34.1</v>
      </c>
      <c r="AC19" s="59">
        <f>IFERROR(INDEX('Team Ratings'!$O$2:$O$73,MATCH($E19,'Team Ratings'!$A$2:$A$73,0)),"")</f>
        <v>35.700000000000003</v>
      </c>
      <c r="AD19" s="59">
        <f>IFERROR(INDEX('Team Ratings'!$Q$2:$Q$73,MATCH($D19,'Team Ratings'!$A$2:$A$73,0)),"")</f>
        <v>0</v>
      </c>
      <c r="AE19" s="59">
        <f>IFERROR(INDEX('Team Ratings'!$Q$2:$Q$73,MATCH($E19,'Team Ratings'!$A$2:$A$73,0)),"")</f>
        <v>0</v>
      </c>
      <c r="AF19" s="56" t="s">
        <v>395</v>
      </c>
      <c r="AG19" s="56" t="s">
        <v>68</v>
      </c>
      <c r="AH19" s="57" t="s">
        <v>394</v>
      </c>
    </row>
    <row r="20" spans="1:34" ht="20" customHeight="1" x14ac:dyDescent="0.2">
      <c r="A20" s="56" t="s">
        <v>157</v>
      </c>
      <c r="B20" s="56" t="s">
        <v>201</v>
      </c>
      <c r="C20" s="56">
        <v>119</v>
      </c>
      <c r="D20" s="56" t="s">
        <v>71</v>
      </c>
      <c r="E20" s="56" t="s">
        <v>64</v>
      </c>
      <c r="F20" s="56" t="s">
        <v>64</v>
      </c>
      <c r="G20" s="56" t="s">
        <v>414</v>
      </c>
      <c r="H20" s="56" t="s">
        <v>247</v>
      </c>
      <c r="I20" s="57" t="s">
        <v>394</v>
      </c>
      <c r="J20" s="56">
        <f>IFERROR(INDEX('Team Ratings'!$B$2:$B$73,MATCH($D20,'Team Ratings'!$A$2:$A$73,0)),"")</f>
        <v>12</v>
      </c>
      <c r="K20" s="56">
        <f>IFERROR(INDEX('Team Ratings'!$B$2:$B$73,MATCH($E20,'Team Ratings'!$A$2:$A$73,0)),"")</f>
        <v>5</v>
      </c>
      <c r="L20" s="58">
        <f>IFERROR(INDEX('Team Ratings'!$D$2:$D$73,MATCH($D20,'Team Ratings'!$A$2:$A$73,0)),"")</f>
        <v>0.76480000000000004</v>
      </c>
      <c r="M20" s="58">
        <f>IFERROR(INDEX('Team Ratings'!$D$2:$D$73,MATCH($E20,'Team Ratings'!$A$2:$A$73,0)),"")</f>
        <v>0.94610000000000005</v>
      </c>
      <c r="N20" s="59">
        <f>IFERROR(INDEX('Team Ratings'!$E$2:$E$73,MATCH($D20,'Team Ratings'!$A$2:$A$73,0)),"")</f>
        <v>113.2</v>
      </c>
      <c r="O20" s="59">
        <f>IFERROR(INDEX('Team Ratings'!$E$2:$E$73,MATCH($E20,'Team Ratings'!$A$2:$A$73,0)),"")</f>
        <v>127.5</v>
      </c>
      <c r="P20" s="59">
        <f>IFERROR(INDEX('Team Ratings'!$F$2:$F$73,MATCH($D20,'Team Ratings'!$A$2:$A$73,0)),"")</f>
        <v>102.1</v>
      </c>
      <c r="Q20" s="59">
        <f>IFERROR(INDEX('Team Ratings'!$F$2:$F$73,MATCH($E20,'Team Ratings'!$A$2:$A$73,0)),"")</f>
        <v>99.4</v>
      </c>
      <c r="R20" s="59">
        <f>IFERROR(INDEX('Team Ratings'!$G$2:$G$73,MATCH($D20,'Team Ratings'!$A$2:$A$73,0)),"")</f>
        <v>11.1</v>
      </c>
      <c r="S20" s="59">
        <f>IFERROR(INDEX('Team Ratings'!$G$2:$G$73,MATCH($E20,'Team Ratings'!$A$2:$A$73,0)),"")</f>
        <v>28.1</v>
      </c>
      <c r="T20" s="59">
        <f>IFERROR(INDEX('Team Ratings'!$H$2:$H$73,MATCH($D20,'Team Ratings'!$A$2:$A$73,0)),"")</f>
        <v>51</v>
      </c>
      <c r="U20" s="59">
        <f>IFERROR(INDEX('Team Ratings'!$H$2:$H$73,MATCH($E20,'Team Ratings'!$A$2:$A$73,0)),"")</f>
        <v>55.3</v>
      </c>
      <c r="V20" s="59">
        <f>IFERROR(INDEX('Team Ratings'!$K$2:$K$73,MATCH($D20,'Team Ratings'!$A$2:$A$73,0)),"")</f>
        <v>24.6</v>
      </c>
      <c r="W20" s="59">
        <f>IFERROR(INDEX('Team Ratings'!$K$2:$K$73,MATCH($E20,'Team Ratings'!$A$2:$A$73,0)),"")</f>
        <v>17.899999999999999</v>
      </c>
      <c r="X20" s="59">
        <f>IFERROR(INDEX('Team Ratings'!$L$2:$L$73,MATCH($D20,'Team Ratings'!$A$2:$A$73,0)),"")</f>
        <v>35</v>
      </c>
      <c r="Y20" s="59">
        <f>IFERROR(INDEX('Team Ratings'!$L$2:$L$73,MATCH($E20,'Team Ratings'!$A$2:$A$73,0)),"")</f>
        <v>31.2</v>
      </c>
      <c r="Z20" s="59">
        <f>IFERROR(INDEX('Team Ratings'!$M$2:$M$73,MATCH($D20,'Team Ratings'!$A$2:$A$73,0)),"")</f>
        <v>35</v>
      </c>
      <c r="AA20" s="59">
        <f>IFERROR(INDEX('Team Ratings'!$M$2:$M$73,MATCH($E20,'Team Ratings'!$A$2:$A$73,0)),"")</f>
        <v>31.6</v>
      </c>
      <c r="AB20" s="59">
        <f>IFERROR(INDEX('Team Ratings'!$O$2:$O$73,MATCH($D20,'Team Ratings'!$A$2:$A$73,0)),"")</f>
        <v>31.6</v>
      </c>
      <c r="AC20" s="59">
        <f>IFERROR(INDEX('Team Ratings'!$O$2:$O$73,MATCH($E20,'Team Ratings'!$A$2:$A$73,0)),"")</f>
        <v>35.5</v>
      </c>
      <c r="AD20" s="59">
        <f>IFERROR(INDEX('Team Ratings'!$Q$2:$Q$73,MATCH($D20,'Team Ratings'!$A$2:$A$73,0)),"")</f>
        <v>0</v>
      </c>
      <c r="AE20" s="59">
        <f>IFERROR(INDEX('Team Ratings'!$Q$2:$Q$73,MATCH($E20,'Team Ratings'!$A$2:$A$73,0)),"")</f>
        <v>0</v>
      </c>
      <c r="AF20" s="56" t="s">
        <v>395</v>
      </c>
      <c r="AG20" s="56" t="s">
        <v>64</v>
      </c>
      <c r="AH20" s="57" t="s">
        <v>394</v>
      </c>
    </row>
    <row r="21" spans="1:34" ht="20" customHeight="1" x14ac:dyDescent="0.2">
      <c r="A21" s="56" t="s">
        <v>151</v>
      </c>
      <c r="B21" s="56" t="s">
        <v>201</v>
      </c>
      <c r="C21" s="56">
        <v>120</v>
      </c>
      <c r="D21" s="56" t="s">
        <v>63</v>
      </c>
      <c r="E21" s="56" t="s">
        <v>72</v>
      </c>
      <c r="F21" s="56" t="s">
        <v>63</v>
      </c>
      <c r="G21" s="56" t="s">
        <v>415</v>
      </c>
      <c r="H21" s="56" t="s">
        <v>248</v>
      </c>
      <c r="I21" s="57" t="s">
        <v>394</v>
      </c>
      <c r="J21" s="56">
        <f>IFERROR(INDEX('Team Ratings'!$B$2:$B$73,MATCH($D21,'Team Ratings'!$A$2:$A$73,0)),"")</f>
        <v>4</v>
      </c>
      <c r="K21" s="56">
        <f>IFERROR(INDEX('Team Ratings'!$B$2:$B$73,MATCH($E21,'Team Ratings'!$A$2:$A$73,0)),"")</f>
        <v>13</v>
      </c>
      <c r="L21" s="58">
        <f>IFERROR(INDEX('Team Ratings'!$D$2:$D$73,MATCH($D21,'Team Ratings'!$A$2:$A$73,0)),"")</f>
        <v>0.93079999999999996</v>
      </c>
      <c r="M21" s="58">
        <f>IFERROR(INDEX('Team Ratings'!$D$2:$D$73,MATCH($E21,'Team Ratings'!$A$2:$A$73,0)),"")</f>
        <v>0.54349999999999998</v>
      </c>
      <c r="N21" s="59">
        <f>IFERROR(INDEX('Team Ratings'!$E$2:$E$73,MATCH($D21,'Team Ratings'!$A$2:$A$73,0)),"")</f>
        <v>117.2</v>
      </c>
      <c r="O21" s="59">
        <f>IFERROR(INDEX('Team Ratings'!$E$2:$E$73,MATCH($E21,'Team Ratings'!$A$2:$A$73,0)),"")</f>
        <v>110.7</v>
      </c>
      <c r="P21" s="59">
        <f>IFERROR(INDEX('Team Ratings'!$F$2:$F$73,MATCH($D21,'Team Ratings'!$A$2:$A$73,0)),"")</f>
        <v>93.5</v>
      </c>
      <c r="Q21" s="59">
        <f>IFERROR(INDEX('Team Ratings'!$F$2:$F$73,MATCH($E21,'Team Ratings'!$A$2:$A$73,0)),"")</f>
        <v>109</v>
      </c>
      <c r="R21" s="59">
        <f>IFERROR(INDEX('Team Ratings'!$G$2:$G$73,MATCH($D21,'Team Ratings'!$A$2:$A$73,0)),"")</f>
        <v>23.7</v>
      </c>
      <c r="S21" s="59">
        <f>IFERROR(INDEX('Team Ratings'!$G$2:$G$73,MATCH($E21,'Team Ratings'!$A$2:$A$73,0)),"")</f>
        <v>1.7</v>
      </c>
      <c r="T21" s="59">
        <f>IFERROR(INDEX('Team Ratings'!$H$2:$H$73,MATCH($D21,'Team Ratings'!$A$2:$A$73,0)),"")</f>
        <v>55.4</v>
      </c>
      <c r="U21" s="59">
        <f>IFERROR(INDEX('Team Ratings'!$H$2:$H$73,MATCH($E21,'Team Ratings'!$A$2:$A$73,0)),"")</f>
        <v>51.9</v>
      </c>
      <c r="V21" s="59">
        <f>IFERROR(INDEX('Team Ratings'!$K$2:$K$73,MATCH($D21,'Team Ratings'!$A$2:$A$73,0)),"")</f>
        <v>19.2</v>
      </c>
      <c r="W21" s="59">
        <f>IFERROR(INDEX('Team Ratings'!$K$2:$K$73,MATCH($E21,'Team Ratings'!$A$2:$A$73,0)),"")</f>
        <v>16.899999999999999</v>
      </c>
      <c r="X21" s="59">
        <f>IFERROR(INDEX('Team Ratings'!$L$2:$L$73,MATCH($D21,'Team Ratings'!$A$2:$A$73,0)),"")</f>
        <v>26.3</v>
      </c>
      <c r="Y21" s="59">
        <f>IFERROR(INDEX('Team Ratings'!$L$2:$L$73,MATCH($E21,'Team Ratings'!$A$2:$A$73,0)),"")</f>
        <v>34.799999999999997</v>
      </c>
      <c r="Z21" s="59">
        <f>IFERROR(INDEX('Team Ratings'!$M$2:$M$73,MATCH($D21,'Team Ratings'!$A$2:$A$73,0)),"")</f>
        <v>27.7</v>
      </c>
      <c r="AA21" s="59">
        <f>IFERROR(INDEX('Team Ratings'!$M$2:$M$73,MATCH($E21,'Team Ratings'!$A$2:$A$73,0)),"")</f>
        <v>31.6</v>
      </c>
      <c r="AB21" s="59">
        <f>IFERROR(INDEX('Team Ratings'!$O$2:$O$73,MATCH($D21,'Team Ratings'!$A$2:$A$73,0)),"")</f>
        <v>35.299999999999997</v>
      </c>
      <c r="AC21" s="59">
        <f>IFERROR(INDEX('Team Ratings'!$O$2:$O$73,MATCH($E21,'Team Ratings'!$A$2:$A$73,0)),"")</f>
        <v>33.200000000000003</v>
      </c>
      <c r="AD21" s="59">
        <f>IFERROR(INDEX('Team Ratings'!$Q$2:$Q$73,MATCH($D21,'Team Ratings'!$A$2:$A$73,0)),"")</f>
        <v>0</v>
      </c>
      <c r="AE21" s="59">
        <f>IFERROR(INDEX('Team Ratings'!$Q$2:$Q$73,MATCH($E21,'Team Ratings'!$A$2:$A$73,0)),"")</f>
        <v>0</v>
      </c>
      <c r="AF21" s="56" t="s">
        <v>395</v>
      </c>
      <c r="AG21" s="56" t="s">
        <v>72</v>
      </c>
      <c r="AH21" s="60" t="s">
        <v>397</v>
      </c>
    </row>
    <row r="22" spans="1:34" ht="20" customHeight="1" x14ac:dyDescent="0.2">
      <c r="A22" s="56" t="s">
        <v>161</v>
      </c>
      <c r="B22" s="56" t="s">
        <v>201</v>
      </c>
      <c r="C22" s="56">
        <v>121</v>
      </c>
      <c r="D22" s="56" t="s">
        <v>70</v>
      </c>
      <c r="E22" s="56" t="s">
        <v>65</v>
      </c>
      <c r="F22" s="56" t="s">
        <v>70</v>
      </c>
      <c r="G22" s="56" t="s">
        <v>416</v>
      </c>
      <c r="H22" s="56" t="s">
        <v>249</v>
      </c>
      <c r="I22" s="57" t="s">
        <v>394</v>
      </c>
      <c r="J22" s="56">
        <f>IFERROR(INDEX('Team Ratings'!$B$2:$B$73,MATCH($D22,'Team Ratings'!$A$2:$A$73,0)),"")</f>
        <v>11</v>
      </c>
      <c r="K22" s="56">
        <f>IFERROR(INDEX('Team Ratings'!$B$2:$B$73,MATCH($E22,'Team Ratings'!$A$2:$A$73,0)),"")</f>
        <v>6</v>
      </c>
      <c r="L22" s="58">
        <f>IFERROR(INDEX('Team Ratings'!$D$2:$D$73,MATCH($D22,'Team Ratings'!$A$2:$A$73,0)),"")</f>
        <v>0.84330000000000005</v>
      </c>
      <c r="M22" s="58">
        <f>IFERROR(INDEX('Team Ratings'!$D$2:$D$73,MATCH($E22,'Team Ratings'!$A$2:$A$73,0)),"")</f>
        <v>0.90300000000000002</v>
      </c>
      <c r="N22" s="59">
        <f>IFERROR(INDEX('Team Ratings'!$E$2:$E$73,MATCH($D22,'Team Ratings'!$A$2:$A$73,0)),"")</f>
        <v>119.3</v>
      </c>
      <c r="O22" s="59">
        <f>IFERROR(INDEX('Team Ratings'!$E$2:$E$73,MATCH($E22,'Team Ratings'!$A$2:$A$73,0)),"")</f>
        <v>121.4</v>
      </c>
      <c r="P22" s="59">
        <f>IFERROR(INDEX('Team Ratings'!$F$2:$F$73,MATCH($D22,'Team Ratings'!$A$2:$A$73,0)),"")</f>
        <v>103</v>
      </c>
      <c r="Q22" s="59">
        <f>IFERROR(INDEX('Team Ratings'!$F$2:$F$73,MATCH($E22,'Team Ratings'!$A$2:$A$73,0)),"")</f>
        <v>100</v>
      </c>
      <c r="R22" s="59">
        <f>IFERROR(INDEX('Team Ratings'!$G$2:$G$73,MATCH($D22,'Team Ratings'!$A$2:$A$73,0)),"")</f>
        <v>16.3</v>
      </c>
      <c r="S22" s="59">
        <f>IFERROR(INDEX('Team Ratings'!$G$2:$G$73,MATCH($E22,'Team Ratings'!$A$2:$A$73,0)),"")</f>
        <v>21.4</v>
      </c>
      <c r="T22" s="59">
        <f>IFERROR(INDEX('Team Ratings'!$H$2:$H$73,MATCH($D22,'Team Ratings'!$A$2:$A$73,0)),"")</f>
        <v>54.1</v>
      </c>
      <c r="U22" s="59">
        <f>IFERROR(INDEX('Team Ratings'!$H$2:$H$73,MATCH($E22,'Team Ratings'!$A$2:$A$73,0)),"")</f>
        <v>54.6</v>
      </c>
      <c r="V22" s="59">
        <f>IFERROR(INDEX('Team Ratings'!$K$2:$K$73,MATCH($D22,'Team Ratings'!$A$2:$A$73,0)),"")</f>
        <v>17.2</v>
      </c>
      <c r="W22" s="59">
        <f>IFERROR(INDEX('Team Ratings'!$K$2:$K$73,MATCH($E22,'Team Ratings'!$A$2:$A$73,0)),"")</f>
        <v>13.6</v>
      </c>
      <c r="X22" s="59">
        <f>IFERROR(INDEX('Team Ratings'!$L$2:$L$73,MATCH($D22,'Team Ratings'!$A$2:$A$73,0)),"")</f>
        <v>32.299999999999997</v>
      </c>
      <c r="Y22" s="59">
        <f>IFERROR(INDEX('Team Ratings'!$L$2:$L$73,MATCH($E22,'Team Ratings'!$A$2:$A$73,0)),"")</f>
        <v>31.4</v>
      </c>
      <c r="Z22" s="59">
        <f>IFERROR(INDEX('Team Ratings'!$M$2:$M$73,MATCH($D22,'Team Ratings'!$A$2:$A$73,0)),"")</f>
        <v>29.9</v>
      </c>
      <c r="AA22" s="59">
        <f>IFERROR(INDEX('Team Ratings'!$M$2:$M$73,MATCH($E22,'Team Ratings'!$A$2:$A$73,0)),"")</f>
        <v>28.1</v>
      </c>
      <c r="AB22" s="59">
        <f>IFERROR(INDEX('Team Ratings'!$O$2:$O$73,MATCH($D22,'Team Ratings'!$A$2:$A$73,0)),"")</f>
        <v>36.700000000000003</v>
      </c>
      <c r="AC22" s="59">
        <f>IFERROR(INDEX('Team Ratings'!$O$2:$O$73,MATCH($E22,'Team Ratings'!$A$2:$A$73,0)),"")</f>
        <v>34.5</v>
      </c>
      <c r="AD22" s="59">
        <f>IFERROR(INDEX('Team Ratings'!$Q$2:$Q$73,MATCH($D22,'Team Ratings'!$A$2:$A$73,0)),"")</f>
        <v>0</v>
      </c>
      <c r="AE22" s="59">
        <f>IFERROR(INDEX('Team Ratings'!$Q$2:$Q$73,MATCH($E22,'Team Ratings'!$A$2:$A$73,0)),"")</f>
        <v>-3</v>
      </c>
      <c r="AF22" s="56" t="s">
        <v>395</v>
      </c>
      <c r="AG22" s="56" t="s">
        <v>70</v>
      </c>
      <c r="AH22" s="57" t="s">
        <v>394</v>
      </c>
    </row>
    <row r="23" spans="1:34" ht="20" customHeight="1" x14ac:dyDescent="0.2">
      <c r="A23" s="56" t="s">
        <v>143</v>
      </c>
      <c r="B23" s="56" t="s">
        <v>201</v>
      </c>
      <c r="C23" s="56">
        <v>122</v>
      </c>
      <c r="D23" s="56" t="s">
        <v>62</v>
      </c>
      <c r="E23" s="56" t="s">
        <v>73</v>
      </c>
      <c r="F23" s="56" t="s">
        <v>62</v>
      </c>
      <c r="G23" s="56" t="s">
        <v>417</v>
      </c>
      <c r="H23" s="56" t="s">
        <v>250</v>
      </c>
      <c r="I23" s="57" t="s">
        <v>394</v>
      </c>
      <c r="J23" s="56">
        <f>IFERROR(INDEX('Team Ratings'!$B$2:$B$73,MATCH($D23,'Team Ratings'!$A$2:$A$73,0)),"")</f>
        <v>3</v>
      </c>
      <c r="K23" s="56">
        <f>IFERROR(INDEX('Team Ratings'!$B$2:$B$73,MATCH($E23,'Team Ratings'!$A$2:$A$73,0)),"")</f>
        <v>14</v>
      </c>
      <c r="L23" s="58">
        <f>IFERROR(INDEX('Team Ratings'!$D$2:$D$73,MATCH($D23,'Team Ratings'!$A$2:$A$73,0)),"")</f>
        <v>0.96760000000000002</v>
      </c>
      <c r="M23" s="58">
        <f>IFERROR(INDEX('Team Ratings'!$D$2:$D$73,MATCH($E23,'Team Ratings'!$A$2:$A$73,0)),"")</f>
        <v>0.53159999999999996</v>
      </c>
      <c r="N23" s="59">
        <f>IFERROR(INDEX('Team Ratings'!$E$2:$E$73,MATCH($D23,'Team Ratings'!$A$2:$A$73,0)),"")</f>
        <v>131.9</v>
      </c>
      <c r="O23" s="59">
        <f>IFERROR(INDEX('Team Ratings'!$E$2:$E$73,MATCH($E23,'Team Ratings'!$A$2:$A$73,0)),"")</f>
        <v>106.6</v>
      </c>
      <c r="P23" s="59">
        <f>IFERROR(INDEX('Team Ratings'!$F$2:$F$73,MATCH($D23,'Team Ratings'!$A$2:$A$73,0)),"")</f>
        <v>98.2</v>
      </c>
      <c r="Q23" s="59">
        <f>IFERROR(INDEX('Team Ratings'!$F$2:$F$73,MATCH($E23,'Team Ratings'!$A$2:$A$73,0)),"")</f>
        <v>105.4</v>
      </c>
      <c r="R23" s="59">
        <f>IFERROR(INDEX('Team Ratings'!$G$2:$G$73,MATCH($D23,'Team Ratings'!$A$2:$A$73,0)),"")</f>
        <v>33.700000000000003</v>
      </c>
      <c r="S23" s="59">
        <f>IFERROR(INDEX('Team Ratings'!$G$2:$G$73,MATCH($E23,'Team Ratings'!$A$2:$A$73,0)),"")</f>
        <v>1.2</v>
      </c>
      <c r="T23" s="59">
        <f>IFERROR(INDEX('Team Ratings'!$H$2:$H$73,MATCH($D23,'Team Ratings'!$A$2:$A$73,0)),"")</f>
        <v>55.1</v>
      </c>
      <c r="U23" s="59">
        <f>IFERROR(INDEX('Team Ratings'!$H$2:$H$73,MATCH($E23,'Team Ratings'!$A$2:$A$73,0)),"")</f>
        <v>50.3</v>
      </c>
      <c r="V23" s="59">
        <f>IFERROR(INDEX('Team Ratings'!$K$2:$K$73,MATCH($D23,'Team Ratings'!$A$2:$A$73,0)),"")</f>
        <v>11.6</v>
      </c>
      <c r="W23" s="59">
        <f>IFERROR(INDEX('Team Ratings'!$K$2:$K$73,MATCH($E23,'Team Ratings'!$A$2:$A$73,0)),"")</f>
        <v>17.8</v>
      </c>
      <c r="X23" s="59">
        <f>IFERROR(INDEX('Team Ratings'!$L$2:$L$73,MATCH($D23,'Team Ratings'!$A$2:$A$73,0)),"")</f>
        <v>38.700000000000003</v>
      </c>
      <c r="Y23" s="59">
        <f>IFERROR(INDEX('Team Ratings'!$L$2:$L$73,MATCH($E23,'Team Ratings'!$A$2:$A$73,0)),"")</f>
        <v>30.3</v>
      </c>
      <c r="Z23" s="59">
        <f>IFERROR(INDEX('Team Ratings'!$M$2:$M$73,MATCH($D23,'Team Ratings'!$A$2:$A$73,0)),"")</f>
        <v>27</v>
      </c>
      <c r="AA23" s="59">
        <f>IFERROR(INDEX('Team Ratings'!$M$2:$M$73,MATCH($E23,'Team Ratings'!$A$2:$A$73,0)),"")</f>
        <v>30.5</v>
      </c>
      <c r="AB23" s="59">
        <f>IFERROR(INDEX('Team Ratings'!$O$2:$O$73,MATCH($D23,'Team Ratings'!$A$2:$A$73,0)),"")</f>
        <v>34.700000000000003</v>
      </c>
      <c r="AC23" s="59">
        <f>IFERROR(INDEX('Team Ratings'!$O$2:$O$73,MATCH($E23,'Team Ratings'!$A$2:$A$73,0)),"")</f>
        <v>38.700000000000003</v>
      </c>
      <c r="AD23" s="59">
        <f>IFERROR(INDEX('Team Ratings'!$Q$2:$Q$73,MATCH($D23,'Team Ratings'!$A$2:$A$73,0)),"")</f>
        <v>0</v>
      </c>
      <c r="AE23" s="59">
        <f>IFERROR(INDEX('Team Ratings'!$Q$2:$Q$73,MATCH($E23,'Team Ratings'!$A$2:$A$73,0)),"")</f>
        <v>0</v>
      </c>
      <c r="AF23" s="56" t="s">
        <v>395</v>
      </c>
      <c r="AG23" s="56" t="s">
        <v>62</v>
      </c>
      <c r="AH23" s="57" t="s">
        <v>394</v>
      </c>
    </row>
    <row r="24" spans="1:34" ht="20" customHeight="1" x14ac:dyDescent="0.2">
      <c r="A24" s="56" t="s">
        <v>165</v>
      </c>
      <c r="B24" s="56" t="s">
        <v>201</v>
      </c>
      <c r="C24" s="56">
        <v>123</v>
      </c>
      <c r="D24" s="56" t="s">
        <v>69</v>
      </c>
      <c r="E24" s="56" t="s">
        <v>66</v>
      </c>
      <c r="F24" s="56" t="s">
        <v>69</v>
      </c>
      <c r="G24" s="56" t="s">
        <v>418</v>
      </c>
      <c r="H24" s="56" t="s">
        <v>251</v>
      </c>
      <c r="I24" s="57" t="s">
        <v>394</v>
      </c>
      <c r="J24" s="56">
        <f>IFERROR(INDEX('Team Ratings'!$B$2:$B$73,MATCH($D24,'Team Ratings'!$A$2:$A$73,0)),"")</f>
        <v>10</v>
      </c>
      <c r="K24" s="56">
        <f>IFERROR(INDEX('Team Ratings'!$B$2:$B$73,MATCH($E24,'Team Ratings'!$A$2:$A$73,0)),"")</f>
        <v>7</v>
      </c>
      <c r="L24" s="58">
        <f>IFERROR(INDEX('Team Ratings'!$D$2:$D$73,MATCH($D24,'Team Ratings'!$A$2:$A$73,0)),"")</f>
        <v>0.87209999999999999</v>
      </c>
      <c r="M24" s="58">
        <f>IFERROR(INDEX('Team Ratings'!$D$2:$D$73,MATCH($E24,'Team Ratings'!$A$2:$A$73,0)),"")</f>
        <v>0.91059999999999997</v>
      </c>
      <c r="N24" s="59">
        <f>IFERROR(INDEX('Team Ratings'!$E$2:$E$73,MATCH($D24,'Team Ratings'!$A$2:$A$73,0)),"")</f>
        <v>119.9</v>
      </c>
      <c r="O24" s="59">
        <f>IFERROR(INDEX('Team Ratings'!$E$2:$E$73,MATCH($E24,'Team Ratings'!$A$2:$A$73,0)),"")</f>
        <v>119.4</v>
      </c>
      <c r="P24" s="59">
        <f>IFERROR(INDEX('Team Ratings'!$F$2:$F$73,MATCH($D24,'Team Ratings'!$A$2:$A$73,0)),"")</f>
        <v>101.4</v>
      </c>
      <c r="Q24" s="59">
        <f>IFERROR(INDEX('Team Ratings'!$F$2:$F$73,MATCH($E24,'Team Ratings'!$A$2:$A$73,0)),"")</f>
        <v>97.5</v>
      </c>
      <c r="R24" s="59">
        <f>IFERROR(INDEX('Team Ratings'!$G$2:$G$73,MATCH($D24,'Team Ratings'!$A$2:$A$73,0)),"")</f>
        <v>18.5</v>
      </c>
      <c r="S24" s="59">
        <f>IFERROR(INDEX('Team Ratings'!$G$2:$G$73,MATCH($E24,'Team Ratings'!$A$2:$A$73,0)),"")</f>
        <v>21.9</v>
      </c>
      <c r="T24" s="59">
        <f>IFERROR(INDEX('Team Ratings'!$H$2:$H$73,MATCH($D24,'Team Ratings'!$A$2:$A$73,0)),"")</f>
        <v>54.2</v>
      </c>
      <c r="U24" s="59">
        <f>IFERROR(INDEX('Team Ratings'!$H$2:$H$73,MATCH($E24,'Team Ratings'!$A$2:$A$73,0)),"")</f>
        <v>52.9</v>
      </c>
      <c r="V24" s="59">
        <f>IFERROR(INDEX('Team Ratings'!$K$2:$K$73,MATCH($D24,'Team Ratings'!$A$2:$A$73,0)),"")</f>
        <v>18.3</v>
      </c>
      <c r="W24" s="59">
        <f>IFERROR(INDEX('Team Ratings'!$K$2:$K$73,MATCH($E24,'Team Ratings'!$A$2:$A$73,0)),"")</f>
        <v>15.2</v>
      </c>
      <c r="X24" s="59">
        <f>IFERROR(INDEX('Team Ratings'!$L$2:$L$73,MATCH($D24,'Team Ratings'!$A$2:$A$73,0)),"")</f>
        <v>32.299999999999997</v>
      </c>
      <c r="Y24" s="59">
        <f>IFERROR(INDEX('Team Ratings'!$L$2:$L$73,MATCH($E24,'Team Ratings'!$A$2:$A$73,0)),"")</f>
        <v>37.6</v>
      </c>
      <c r="Z24" s="59">
        <f>IFERROR(INDEX('Team Ratings'!$M$2:$M$73,MATCH($D24,'Team Ratings'!$A$2:$A$73,0)),"")</f>
        <v>32.5</v>
      </c>
      <c r="AA24" s="59">
        <f>IFERROR(INDEX('Team Ratings'!$M$2:$M$73,MATCH($E24,'Team Ratings'!$A$2:$A$73,0)),"")</f>
        <v>23.8</v>
      </c>
      <c r="AB24" s="59">
        <f>IFERROR(INDEX('Team Ratings'!$O$2:$O$73,MATCH($D24,'Team Ratings'!$A$2:$A$73,0)),"")</f>
        <v>36.200000000000003</v>
      </c>
      <c r="AC24" s="59">
        <f>IFERROR(INDEX('Team Ratings'!$O$2:$O$73,MATCH($E24,'Team Ratings'!$A$2:$A$73,0)),"")</f>
        <v>38.6</v>
      </c>
      <c r="AD24" s="59">
        <f>IFERROR(INDEX('Team Ratings'!$Q$2:$Q$73,MATCH($D24,'Team Ratings'!$A$2:$A$73,0)),"")</f>
        <v>0</v>
      </c>
      <c r="AE24" s="59">
        <f>IFERROR(INDEX('Team Ratings'!$Q$2:$Q$73,MATCH($E24,'Team Ratings'!$A$2:$A$73,0)),"")</f>
        <v>0</v>
      </c>
      <c r="AF24" s="56" t="s">
        <v>395</v>
      </c>
      <c r="AG24" s="56" t="s">
        <v>66</v>
      </c>
      <c r="AH24" s="60" t="s">
        <v>397</v>
      </c>
    </row>
    <row r="25" spans="1:34" ht="20" customHeight="1" x14ac:dyDescent="0.2">
      <c r="A25" s="56" t="s">
        <v>135</v>
      </c>
      <c r="B25" s="56" t="s">
        <v>201</v>
      </c>
      <c r="C25" s="56">
        <v>124</v>
      </c>
      <c r="D25" s="56" t="s">
        <v>61</v>
      </c>
      <c r="E25" s="56" t="s">
        <v>74</v>
      </c>
      <c r="F25" s="56" t="s">
        <v>61</v>
      </c>
      <c r="G25" s="56" t="s">
        <v>419</v>
      </c>
      <c r="H25" s="56" t="s">
        <v>252</v>
      </c>
      <c r="I25" s="57" t="s">
        <v>394</v>
      </c>
      <c r="J25" s="56">
        <f>IFERROR(INDEX('Team Ratings'!$B$2:$B$73,MATCH($D25,'Team Ratings'!$A$2:$A$73,0)),"")</f>
        <v>2</v>
      </c>
      <c r="K25" s="56">
        <f>IFERROR(INDEX('Team Ratings'!$B$2:$B$73,MATCH($E25,'Team Ratings'!$A$2:$A$73,0)),"")</f>
        <v>15</v>
      </c>
      <c r="L25" s="58">
        <f>IFERROR(INDEX('Team Ratings'!$D$2:$D$73,MATCH($D25,'Team Ratings'!$A$2:$A$73,0)),"")</f>
        <v>0.97089999999999999</v>
      </c>
      <c r="M25" s="58">
        <f>IFERROR(INDEX('Team Ratings'!$D$2:$D$73,MATCH($E25,'Team Ratings'!$A$2:$A$73,0)),"")</f>
        <v>0.57050000000000001</v>
      </c>
      <c r="N25" s="59">
        <f>IFERROR(INDEX('Team Ratings'!$E$2:$E$73,MATCH($D25,'Team Ratings'!$A$2:$A$73,0)),"")</f>
        <v>125.3</v>
      </c>
      <c r="O25" s="59">
        <f>IFERROR(INDEX('Team Ratings'!$E$2:$E$73,MATCH($E25,'Team Ratings'!$A$2:$A$73,0)),"")</f>
        <v>108.8</v>
      </c>
      <c r="P25" s="59">
        <f>IFERROR(INDEX('Team Ratings'!$F$2:$F$73,MATCH($D25,'Team Ratings'!$A$2:$A$73,0)),"")</f>
        <v>92.4</v>
      </c>
      <c r="Q25" s="59">
        <f>IFERROR(INDEX('Team Ratings'!$F$2:$F$73,MATCH($E25,'Team Ratings'!$A$2:$A$73,0)),"")</f>
        <v>106.2</v>
      </c>
      <c r="R25" s="59">
        <f>IFERROR(INDEX('Team Ratings'!$G$2:$G$73,MATCH($D25,'Team Ratings'!$A$2:$A$73,0)),"")</f>
        <v>32.9</v>
      </c>
      <c r="S25" s="59">
        <f>IFERROR(INDEX('Team Ratings'!$G$2:$G$73,MATCH($E25,'Team Ratings'!$A$2:$A$73,0)),"")</f>
        <v>2.6</v>
      </c>
      <c r="T25" s="59">
        <f>IFERROR(INDEX('Team Ratings'!$H$2:$H$73,MATCH($D25,'Team Ratings'!$A$2:$A$73,0)),"")</f>
        <v>52.1</v>
      </c>
      <c r="U25" s="59">
        <f>IFERROR(INDEX('Team Ratings'!$H$2:$H$73,MATCH($E25,'Team Ratings'!$A$2:$A$73,0)),"")</f>
        <v>51.9</v>
      </c>
      <c r="V25" s="59">
        <f>IFERROR(INDEX('Team Ratings'!$K$2:$K$73,MATCH($D25,'Team Ratings'!$A$2:$A$73,0)),"")</f>
        <v>21</v>
      </c>
      <c r="W25" s="59">
        <f>IFERROR(INDEX('Team Ratings'!$K$2:$K$73,MATCH($E25,'Team Ratings'!$A$2:$A$73,0)),"")</f>
        <v>15.2</v>
      </c>
      <c r="X25" s="59">
        <f>IFERROR(INDEX('Team Ratings'!$L$2:$L$73,MATCH($D25,'Team Ratings'!$A$2:$A$73,0)),"")</f>
        <v>35.9</v>
      </c>
      <c r="Y25" s="59">
        <f>IFERROR(INDEX('Team Ratings'!$L$2:$L$73,MATCH($E25,'Team Ratings'!$A$2:$A$73,0)),"")</f>
        <v>28.9</v>
      </c>
      <c r="Z25" s="59">
        <f>IFERROR(INDEX('Team Ratings'!$M$2:$M$73,MATCH($D25,'Team Ratings'!$A$2:$A$73,0)),"")</f>
        <v>30.9</v>
      </c>
      <c r="AA25" s="59">
        <f>IFERROR(INDEX('Team Ratings'!$M$2:$M$73,MATCH($E25,'Team Ratings'!$A$2:$A$73,0)),"")</f>
        <v>24.2</v>
      </c>
      <c r="AB25" s="59">
        <f>IFERROR(INDEX('Team Ratings'!$O$2:$O$73,MATCH($D25,'Team Ratings'!$A$2:$A$73,0)),"")</f>
        <v>34.9</v>
      </c>
      <c r="AC25" s="59">
        <f>IFERROR(INDEX('Team Ratings'!$O$2:$O$73,MATCH($E25,'Team Ratings'!$A$2:$A$73,0)),"")</f>
        <v>34.5</v>
      </c>
      <c r="AD25" s="59">
        <f>IFERROR(INDEX('Team Ratings'!$Q$2:$Q$73,MATCH($D25,'Team Ratings'!$A$2:$A$73,0)),"")</f>
        <v>-1</v>
      </c>
      <c r="AE25" s="59">
        <f>IFERROR(INDEX('Team Ratings'!$Q$2:$Q$73,MATCH($E25,'Team Ratings'!$A$2:$A$73,0)),"")</f>
        <v>0</v>
      </c>
      <c r="AF25" s="56" t="s">
        <v>395</v>
      </c>
      <c r="AG25" s="56" t="s">
        <v>61</v>
      </c>
      <c r="AH25" s="57" t="s">
        <v>394</v>
      </c>
    </row>
    <row r="26" spans="1:34" ht="20" customHeight="1" x14ac:dyDescent="0.2">
      <c r="A26" s="56" t="s">
        <v>124</v>
      </c>
      <c r="B26" s="56" t="s">
        <v>201</v>
      </c>
      <c r="C26" s="56">
        <v>125</v>
      </c>
      <c r="D26" s="56" t="s">
        <v>96</v>
      </c>
      <c r="E26" s="56" t="s">
        <v>78</v>
      </c>
      <c r="F26" s="56" t="s">
        <v>78</v>
      </c>
      <c r="G26" s="56" t="s">
        <v>420</v>
      </c>
      <c r="H26" s="56" t="s">
        <v>253</v>
      </c>
      <c r="I26" s="57" t="s">
        <v>394</v>
      </c>
      <c r="J26" s="56">
        <f>IFERROR(INDEX('Team Ratings'!$B$2:$B$73,MATCH($D26,'Team Ratings'!$A$2:$A$73,0)),"")</f>
        <v>16</v>
      </c>
      <c r="K26" s="56">
        <f>IFERROR(INDEX('Team Ratings'!$B$2:$B$73,MATCH($E26,'Team Ratings'!$A$2:$A$73,0)),"")</f>
        <v>1</v>
      </c>
      <c r="L26" s="58">
        <f>IFERROR(INDEX('Team Ratings'!$D$2:$D$73,MATCH($D26,'Team Ratings'!$A$2:$A$73,0)),"")</f>
        <v>0.42509999999999998</v>
      </c>
      <c r="M26" s="58">
        <f>IFERROR(INDEX('Team Ratings'!$D$2:$D$73,MATCH($E26,'Team Ratings'!$A$2:$A$73,0)),"")</f>
        <v>0.97989999999999999</v>
      </c>
      <c r="N26" s="59">
        <f>IFERROR(INDEX('Team Ratings'!$E$2:$E$73,MATCH($D26,'Team Ratings'!$A$2:$A$73,0)),"")</f>
        <v>103.5</v>
      </c>
      <c r="O26" s="59">
        <f>IFERROR(INDEX('Team Ratings'!$E$2:$E$73,MATCH($E26,'Team Ratings'!$A$2:$A$73,0)),"")</f>
        <v>127.7</v>
      </c>
      <c r="P26" s="59">
        <f>IFERROR(INDEX('Team Ratings'!$F$2:$F$73,MATCH($D26,'Team Ratings'!$A$2:$A$73,0)),"")</f>
        <v>106.2</v>
      </c>
      <c r="Q26" s="59">
        <f>IFERROR(INDEX('Team Ratings'!$F$2:$F$73,MATCH($E26,'Team Ratings'!$A$2:$A$73,0)),"")</f>
        <v>91</v>
      </c>
      <c r="R26" s="59">
        <f>IFERROR(INDEX('Team Ratings'!$G$2:$G$73,MATCH($D26,'Team Ratings'!$A$2:$A$73,0)),"")</f>
        <v>-2.7</v>
      </c>
      <c r="S26" s="59">
        <f>IFERROR(INDEX('Team Ratings'!$G$2:$G$73,MATCH($E26,'Team Ratings'!$A$2:$A$73,0)),"")</f>
        <v>36.700000000000003</v>
      </c>
      <c r="T26" s="59">
        <f>IFERROR(INDEX('Team Ratings'!$H$2:$H$73,MATCH($D26,'Team Ratings'!$A$2:$A$73,0)),"")</f>
        <v>50.6</v>
      </c>
      <c r="U26" s="59">
        <f>IFERROR(INDEX('Team Ratings'!$H$2:$H$73,MATCH($E26,'Team Ratings'!$A$2:$A$73,0)),"")</f>
        <v>58.1</v>
      </c>
      <c r="V26" s="59">
        <f>IFERROR(INDEX('Team Ratings'!$K$2:$K$73,MATCH($D26,'Team Ratings'!$A$2:$A$73,0)),"")</f>
        <v>21.3</v>
      </c>
      <c r="W26" s="59">
        <f>IFERROR(INDEX('Team Ratings'!$K$2:$K$73,MATCH($E26,'Team Ratings'!$A$2:$A$73,0)),"")</f>
        <v>15.5</v>
      </c>
      <c r="X26" s="59">
        <f>IFERROR(INDEX('Team Ratings'!$L$2:$L$73,MATCH($D26,'Team Ratings'!$A$2:$A$73,0)),"")</f>
        <v>36.6</v>
      </c>
      <c r="Y26" s="59">
        <f>IFERROR(INDEX('Team Ratings'!$L$2:$L$73,MATCH($E26,'Team Ratings'!$A$2:$A$73,0)),"")</f>
        <v>35.4</v>
      </c>
      <c r="Z26" s="59">
        <f>IFERROR(INDEX('Team Ratings'!$M$2:$M$73,MATCH($D26,'Team Ratings'!$A$2:$A$73,0)),"")</f>
        <v>32</v>
      </c>
      <c r="AA26" s="59">
        <f>IFERROR(INDEX('Team Ratings'!$M$2:$M$73,MATCH($E26,'Team Ratings'!$A$2:$A$73,0)),"")</f>
        <v>27.7</v>
      </c>
      <c r="AB26" s="59">
        <f>IFERROR(INDEX('Team Ratings'!$O$2:$O$73,MATCH($D26,'Team Ratings'!$A$2:$A$73,0)),"")</f>
        <v>34.700000000000003</v>
      </c>
      <c r="AC26" s="59">
        <f>IFERROR(INDEX('Team Ratings'!$O$2:$O$73,MATCH($E26,'Team Ratings'!$A$2:$A$73,0)),"")</f>
        <v>36</v>
      </c>
      <c r="AD26" s="59">
        <f>IFERROR(INDEX('Team Ratings'!$Q$2:$Q$73,MATCH($D26,'Team Ratings'!$A$2:$A$73,0)),"")</f>
        <v>0</v>
      </c>
      <c r="AE26" s="59">
        <f>IFERROR(INDEX('Team Ratings'!$Q$2:$Q$73,MATCH($E26,'Team Ratings'!$A$2:$A$73,0)),"")</f>
        <v>-2</v>
      </c>
      <c r="AF26" s="56" t="s">
        <v>395</v>
      </c>
      <c r="AG26" s="56" t="s">
        <v>78</v>
      </c>
      <c r="AH26" s="57" t="s">
        <v>394</v>
      </c>
    </row>
    <row r="27" spans="1:34" ht="20" customHeight="1" x14ac:dyDescent="0.2">
      <c r="A27" s="56" t="s">
        <v>168</v>
      </c>
      <c r="B27" s="56" t="s">
        <v>201</v>
      </c>
      <c r="C27" s="56">
        <v>126</v>
      </c>
      <c r="D27" s="56" t="s">
        <v>86</v>
      </c>
      <c r="E27" s="56" t="s">
        <v>87</v>
      </c>
      <c r="F27" s="56" t="s">
        <v>87</v>
      </c>
      <c r="G27" s="56" t="s">
        <v>421</v>
      </c>
      <c r="H27" s="56" t="s">
        <v>254</v>
      </c>
      <c r="I27" s="57" t="s">
        <v>394</v>
      </c>
      <c r="J27" s="56">
        <f>IFERROR(INDEX('Team Ratings'!$B$2:$B$73,MATCH($D27,'Team Ratings'!$A$2:$A$73,0)),"")</f>
        <v>8</v>
      </c>
      <c r="K27" s="56">
        <f>IFERROR(INDEX('Team Ratings'!$B$2:$B$73,MATCH($E27,'Team Ratings'!$A$2:$A$73,0)),"")</f>
        <v>9</v>
      </c>
      <c r="L27" s="58">
        <f>IFERROR(INDEX('Team Ratings'!$D$2:$D$73,MATCH($D27,'Team Ratings'!$A$2:$A$73,0)),"")</f>
        <v>0.87770000000000004</v>
      </c>
      <c r="M27" s="58">
        <f>IFERROR(INDEX('Team Ratings'!$D$2:$D$73,MATCH($E27,'Team Ratings'!$A$2:$A$73,0)),"")</f>
        <v>0.85729999999999995</v>
      </c>
      <c r="N27" s="59">
        <f>IFERROR(INDEX('Team Ratings'!$E$2:$E$73,MATCH($D27,'Team Ratings'!$A$2:$A$73,0)),"")</f>
        <v>124.4</v>
      </c>
      <c r="O27" s="59">
        <f>IFERROR(INDEX('Team Ratings'!$E$2:$E$73,MATCH($E27,'Team Ratings'!$A$2:$A$73,0)),"")</f>
        <v>119.5</v>
      </c>
      <c r="P27" s="59">
        <f>IFERROR(INDEX('Team Ratings'!$F$2:$F$73,MATCH($D27,'Team Ratings'!$A$2:$A$73,0)),"")</f>
        <v>104.8</v>
      </c>
      <c r="Q27" s="59">
        <f>IFERROR(INDEX('Team Ratings'!$F$2:$F$73,MATCH($E27,'Team Ratings'!$A$2:$A$73,0)),"")</f>
        <v>102.3</v>
      </c>
      <c r="R27" s="59">
        <f>IFERROR(INDEX('Team Ratings'!$G$2:$G$73,MATCH($D27,'Team Ratings'!$A$2:$A$73,0)),"")</f>
        <v>19.600000000000001</v>
      </c>
      <c r="S27" s="59">
        <f>IFERROR(INDEX('Team Ratings'!$G$2:$G$73,MATCH($E27,'Team Ratings'!$A$2:$A$73,0)),"")</f>
        <v>17.2</v>
      </c>
      <c r="T27" s="59">
        <f>IFERROR(INDEX('Team Ratings'!$H$2:$H$73,MATCH($D27,'Team Ratings'!$A$2:$A$73,0)),"")</f>
        <v>54.6</v>
      </c>
      <c r="U27" s="59">
        <f>IFERROR(INDEX('Team Ratings'!$H$2:$H$73,MATCH($E27,'Team Ratings'!$A$2:$A$73,0)),"")</f>
        <v>59.7</v>
      </c>
      <c r="V27" s="59">
        <f>IFERROR(INDEX('Team Ratings'!$K$2:$K$73,MATCH($D27,'Team Ratings'!$A$2:$A$73,0)),"")</f>
        <v>18.399999999999999</v>
      </c>
      <c r="W27" s="59">
        <f>IFERROR(INDEX('Team Ratings'!$K$2:$K$73,MATCH($E27,'Team Ratings'!$A$2:$A$73,0)),"")</f>
        <v>16.100000000000001</v>
      </c>
      <c r="X27" s="59">
        <f>IFERROR(INDEX('Team Ratings'!$L$2:$L$73,MATCH($D27,'Team Ratings'!$A$2:$A$73,0)),"")</f>
        <v>35.200000000000003</v>
      </c>
      <c r="Y27" s="59">
        <f>IFERROR(INDEX('Team Ratings'!$L$2:$L$73,MATCH($E27,'Team Ratings'!$A$2:$A$73,0)),"")</f>
        <v>31.1</v>
      </c>
      <c r="Z27" s="59">
        <f>IFERROR(INDEX('Team Ratings'!$M$2:$M$73,MATCH($D27,'Team Ratings'!$A$2:$A$73,0)),"")</f>
        <v>34.9</v>
      </c>
      <c r="AA27" s="59">
        <f>IFERROR(INDEX('Team Ratings'!$M$2:$M$73,MATCH($E27,'Team Ratings'!$A$2:$A$73,0)),"")</f>
        <v>27</v>
      </c>
      <c r="AB27" s="59">
        <f>IFERROR(INDEX('Team Ratings'!$O$2:$O$73,MATCH($D27,'Team Ratings'!$A$2:$A$73,0)),"")</f>
        <v>34.1</v>
      </c>
      <c r="AC27" s="59">
        <f>IFERROR(INDEX('Team Ratings'!$O$2:$O$73,MATCH($E27,'Team Ratings'!$A$2:$A$73,0)),"")</f>
        <v>40.5</v>
      </c>
      <c r="AD27" s="59">
        <f>IFERROR(INDEX('Team Ratings'!$Q$2:$Q$73,MATCH($D27,'Team Ratings'!$A$2:$A$73,0)),"")</f>
        <v>0</v>
      </c>
      <c r="AE27" s="59">
        <f>IFERROR(INDEX('Team Ratings'!$Q$2:$Q$73,MATCH($E27,'Team Ratings'!$A$2:$A$73,0)),"")</f>
        <v>0</v>
      </c>
      <c r="AF27" s="56" t="s">
        <v>395</v>
      </c>
      <c r="AG27" s="56" t="s">
        <v>86</v>
      </c>
      <c r="AH27" s="60" t="s">
        <v>397</v>
      </c>
    </row>
    <row r="28" spans="1:34" ht="20" customHeight="1" x14ac:dyDescent="0.2">
      <c r="A28" s="56" t="s">
        <v>156</v>
      </c>
      <c r="B28" s="56" t="s">
        <v>201</v>
      </c>
      <c r="C28" s="56">
        <v>127</v>
      </c>
      <c r="D28" s="56" t="s">
        <v>92</v>
      </c>
      <c r="E28" s="56" t="s">
        <v>83</v>
      </c>
      <c r="F28" s="56" t="s">
        <v>83</v>
      </c>
      <c r="G28" s="56" t="s">
        <v>422</v>
      </c>
      <c r="H28" s="56" t="s">
        <v>255</v>
      </c>
      <c r="I28" s="57" t="s">
        <v>394</v>
      </c>
      <c r="J28" s="56">
        <f>IFERROR(INDEX('Team Ratings'!$B$2:$B$73,MATCH($D28,'Team Ratings'!$A$2:$A$73,0)),"")</f>
        <v>12</v>
      </c>
      <c r="K28" s="56">
        <f>IFERROR(INDEX('Team Ratings'!$B$2:$B$73,MATCH($E28,'Team Ratings'!$A$2:$A$73,0)),"")</f>
        <v>5</v>
      </c>
      <c r="L28" s="58">
        <f>IFERROR(INDEX('Team Ratings'!$D$2:$D$73,MATCH($D28,'Team Ratings'!$A$2:$A$73,0)),"")</f>
        <v>0.77249999999999996</v>
      </c>
      <c r="M28" s="58">
        <f>IFERROR(INDEX('Team Ratings'!$D$2:$D$73,MATCH($E28,'Team Ratings'!$A$2:$A$73,0)),"")</f>
        <v>0.94389999999999996</v>
      </c>
      <c r="N28" s="59">
        <f>IFERROR(INDEX('Team Ratings'!$E$2:$E$73,MATCH($D28,'Team Ratings'!$A$2:$A$73,0)),"")</f>
        <v>117.2</v>
      </c>
      <c r="O28" s="59">
        <f>IFERROR(INDEX('Team Ratings'!$E$2:$E$73,MATCH($E28,'Team Ratings'!$A$2:$A$73,0)),"")</f>
        <v>126.3</v>
      </c>
      <c r="P28" s="59">
        <f>IFERROR(INDEX('Team Ratings'!$F$2:$F$73,MATCH($D28,'Team Ratings'!$A$2:$A$73,0)),"")</f>
        <v>105.4</v>
      </c>
      <c r="Q28" s="59">
        <f>IFERROR(INDEX('Team Ratings'!$F$2:$F$73,MATCH($E28,'Team Ratings'!$A$2:$A$73,0)),"")</f>
        <v>98.8</v>
      </c>
      <c r="R28" s="59">
        <f>IFERROR(INDEX('Team Ratings'!$G$2:$G$73,MATCH($D28,'Team Ratings'!$A$2:$A$73,0)),"")</f>
        <v>11.8</v>
      </c>
      <c r="S28" s="59">
        <f>IFERROR(INDEX('Team Ratings'!$G$2:$G$73,MATCH($E28,'Team Ratings'!$A$2:$A$73,0)),"")</f>
        <v>27.5</v>
      </c>
      <c r="T28" s="59">
        <f>IFERROR(INDEX('Team Ratings'!$H$2:$H$73,MATCH($D28,'Team Ratings'!$A$2:$A$73,0)),"")</f>
        <v>58.5</v>
      </c>
      <c r="U28" s="59">
        <f>IFERROR(INDEX('Team Ratings'!$H$2:$H$73,MATCH($E28,'Team Ratings'!$A$2:$A$73,0)),"")</f>
        <v>56.2</v>
      </c>
      <c r="V28" s="59">
        <f>IFERROR(INDEX('Team Ratings'!$K$2:$K$73,MATCH($D28,'Team Ratings'!$A$2:$A$73,0)),"")</f>
        <v>18.399999999999999</v>
      </c>
      <c r="W28" s="59">
        <f>IFERROR(INDEX('Team Ratings'!$K$2:$K$73,MATCH($E28,'Team Ratings'!$A$2:$A$73,0)),"")</f>
        <v>14.7</v>
      </c>
      <c r="X28" s="59">
        <f>IFERROR(INDEX('Team Ratings'!$L$2:$L$73,MATCH($D28,'Team Ratings'!$A$2:$A$73,0)),"")</f>
        <v>33.5</v>
      </c>
      <c r="Y28" s="59">
        <f>IFERROR(INDEX('Team Ratings'!$L$2:$L$73,MATCH($E28,'Team Ratings'!$A$2:$A$73,0)),"")</f>
        <v>33.299999999999997</v>
      </c>
      <c r="Z28" s="59">
        <f>IFERROR(INDEX('Team Ratings'!$M$2:$M$73,MATCH($D28,'Team Ratings'!$A$2:$A$73,0)),"")</f>
        <v>29.9</v>
      </c>
      <c r="AA28" s="59">
        <f>IFERROR(INDEX('Team Ratings'!$M$2:$M$73,MATCH($E28,'Team Ratings'!$A$2:$A$73,0)),"")</f>
        <v>30.1</v>
      </c>
      <c r="AB28" s="59">
        <f>IFERROR(INDEX('Team Ratings'!$O$2:$O$73,MATCH($D28,'Team Ratings'!$A$2:$A$73,0)),"")</f>
        <v>38.5</v>
      </c>
      <c r="AC28" s="59">
        <f>IFERROR(INDEX('Team Ratings'!$O$2:$O$73,MATCH($E28,'Team Ratings'!$A$2:$A$73,0)),"")</f>
        <v>39.299999999999997</v>
      </c>
      <c r="AD28" s="59">
        <f>IFERROR(INDEX('Team Ratings'!$Q$2:$Q$73,MATCH($D28,'Team Ratings'!$A$2:$A$73,0)),"")</f>
        <v>0</v>
      </c>
      <c r="AE28" s="59">
        <f>IFERROR(INDEX('Team Ratings'!$Q$2:$Q$73,MATCH($E28,'Team Ratings'!$A$2:$A$73,0)),"")</f>
        <v>0</v>
      </c>
      <c r="AF28" s="56" t="s">
        <v>395</v>
      </c>
      <c r="AG28" s="56" t="s">
        <v>92</v>
      </c>
      <c r="AH28" s="60" t="s">
        <v>397</v>
      </c>
    </row>
    <row r="29" spans="1:34" ht="20" customHeight="1" x14ac:dyDescent="0.2">
      <c r="A29" s="56" t="s">
        <v>149</v>
      </c>
      <c r="B29" s="56" t="s">
        <v>201</v>
      </c>
      <c r="C29" s="56">
        <v>128</v>
      </c>
      <c r="D29" s="56" t="s">
        <v>82</v>
      </c>
      <c r="E29" s="56" t="s">
        <v>93</v>
      </c>
      <c r="F29" s="56" t="s">
        <v>82</v>
      </c>
      <c r="G29" s="56" t="s">
        <v>423</v>
      </c>
      <c r="H29" s="56" t="s">
        <v>256</v>
      </c>
      <c r="I29" s="57" t="s">
        <v>394</v>
      </c>
      <c r="J29" s="56">
        <f>IFERROR(INDEX('Team Ratings'!$B$2:$B$73,MATCH($D29,'Team Ratings'!$A$2:$A$73,0)),"")</f>
        <v>4</v>
      </c>
      <c r="K29" s="56">
        <f>IFERROR(INDEX('Team Ratings'!$B$2:$B$73,MATCH($E29,'Team Ratings'!$A$2:$A$73,0)),"")</f>
        <v>13</v>
      </c>
      <c r="L29" s="58">
        <f>IFERROR(INDEX('Team Ratings'!$D$2:$D$73,MATCH($D29,'Team Ratings'!$A$2:$A$73,0)),"")</f>
        <v>0.93440000000000001</v>
      </c>
      <c r="M29" s="58">
        <f>IFERROR(INDEX('Team Ratings'!$D$2:$D$73,MATCH($E29,'Team Ratings'!$A$2:$A$73,0)),"")</f>
        <v>0.70540000000000003</v>
      </c>
      <c r="N29" s="59">
        <f>IFERROR(INDEX('Team Ratings'!$E$2:$E$73,MATCH($D29,'Team Ratings'!$A$2:$A$73,0)),"")</f>
        <v>129.5</v>
      </c>
      <c r="O29" s="59">
        <f>IFERROR(INDEX('Team Ratings'!$E$2:$E$73,MATCH($E29,'Team Ratings'!$A$2:$A$73,0)),"")</f>
        <v>113.2</v>
      </c>
      <c r="P29" s="59">
        <f>IFERROR(INDEX('Team Ratings'!$F$2:$F$73,MATCH($D29,'Team Ratings'!$A$2:$A$73,0)),"")</f>
        <v>102.8</v>
      </c>
      <c r="Q29" s="59">
        <f>IFERROR(INDEX('Team Ratings'!$F$2:$F$73,MATCH($E29,'Team Ratings'!$A$2:$A$73,0)),"")</f>
        <v>104.9</v>
      </c>
      <c r="R29" s="59">
        <f>IFERROR(INDEX('Team Ratings'!$G$2:$G$73,MATCH($D29,'Team Ratings'!$A$2:$A$73,0)),"")</f>
        <v>26.7</v>
      </c>
      <c r="S29" s="59">
        <f>IFERROR(INDEX('Team Ratings'!$G$2:$G$73,MATCH($E29,'Team Ratings'!$A$2:$A$73,0)),"")</f>
        <v>8.3000000000000007</v>
      </c>
      <c r="T29" s="59">
        <f>IFERROR(INDEX('Team Ratings'!$H$2:$H$73,MATCH($D29,'Team Ratings'!$A$2:$A$73,0)),"")</f>
        <v>55.4</v>
      </c>
      <c r="U29" s="59">
        <f>IFERROR(INDEX('Team Ratings'!$H$2:$H$73,MATCH($E29,'Team Ratings'!$A$2:$A$73,0)),"")</f>
        <v>51.5</v>
      </c>
      <c r="V29" s="59">
        <f>IFERROR(INDEX('Team Ratings'!$K$2:$K$73,MATCH($D29,'Team Ratings'!$A$2:$A$73,0)),"")</f>
        <v>12.6</v>
      </c>
      <c r="W29" s="59">
        <f>IFERROR(INDEX('Team Ratings'!$K$2:$K$73,MATCH($E29,'Team Ratings'!$A$2:$A$73,0)),"")</f>
        <v>15</v>
      </c>
      <c r="X29" s="59">
        <f>IFERROR(INDEX('Team Ratings'!$L$2:$L$73,MATCH($D29,'Team Ratings'!$A$2:$A$73,0)),"")</f>
        <v>31.8</v>
      </c>
      <c r="Y29" s="59">
        <f>IFERROR(INDEX('Team Ratings'!$L$2:$L$73,MATCH($E29,'Team Ratings'!$A$2:$A$73,0)),"")</f>
        <v>34.9</v>
      </c>
      <c r="Z29" s="59">
        <f>IFERROR(INDEX('Team Ratings'!$M$2:$M$73,MATCH($D29,'Team Ratings'!$A$2:$A$73,0)),"")</f>
        <v>32.799999999999997</v>
      </c>
      <c r="AA29" s="59">
        <f>IFERROR(INDEX('Team Ratings'!$M$2:$M$73,MATCH($E29,'Team Ratings'!$A$2:$A$73,0)),"")</f>
        <v>30.5</v>
      </c>
      <c r="AB29" s="59">
        <f>IFERROR(INDEX('Team Ratings'!$O$2:$O$73,MATCH($D29,'Team Ratings'!$A$2:$A$73,0)),"")</f>
        <v>35.799999999999997</v>
      </c>
      <c r="AC29" s="59">
        <f>IFERROR(INDEX('Team Ratings'!$O$2:$O$73,MATCH($E29,'Team Ratings'!$A$2:$A$73,0)),"")</f>
        <v>36.799999999999997</v>
      </c>
      <c r="AD29" s="59">
        <f>IFERROR(INDEX('Team Ratings'!$Q$2:$Q$73,MATCH($D29,'Team Ratings'!$A$2:$A$73,0)),"")</f>
        <v>0</v>
      </c>
      <c r="AE29" s="59">
        <f>IFERROR(INDEX('Team Ratings'!$Q$2:$Q$73,MATCH($E29,'Team Ratings'!$A$2:$A$73,0)),"")</f>
        <v>0</v>
      </c>
      <c r="AF29" s="56" t="s">
        <v>395</v>
      </c>
      <c r="AG29" s="56" t="s">
        <v>82</v>
      </c>
      <c r="AH29" s="57" t="s">
        <v>394</v>
      </c>
    </row>
    <row r="30" spans="1:34" ht="20" customHeight="1" x14ac:dyDescent="0.2">
      <c r="A30" s="56" t="s">
        <v>160</v>
      </c>
      <c r="B30" s="56" t="s">
        <v>201</v>
      </c>
      <c r="C30" s="56">
        <v>129</v>
      </c>
      <c r="D30" s="56" t="s">
        <v>89</v>
      </c>
      <c r="E30" s="56" t="s">
        <v>84</v>
      </c>
      <c r="F30" s="56" t="s">
        <v>84</v>
      </c>
      <c r="G30" s="56" t="s">
        <v>424</v>
      </c>
      <c r="H30" s="56" t="s">
        <v>257</v>
      </c>
      <c r="I30" s="57" t="s">
        <v>394</v>
      </c>
      <c r="J30" s="56">
        <f>IFERROR(INDEX('Team Ratings'!$B$2:$B$73,MATCH($D30,'Team Ratings'!$A$2:$A$73,0)),"")</f>
        <v>11</v>
      </c>
      <c r="K30" s="56">
        <f>IFERROR(INDEX('Team Ratings'!$B$2:$B$73,MATCH($E30,'Team Ratings'!$A$2:$A$73,0)),"")</f>
        <v>6</v>
      </c>
      <c r="L30" s="58">
        <f>IFERROR(INDEX('Team Ratings'!$D$2:$D$73,MATCH($D30,'Team Ratings'!$A$2:$A$73,0)),"")</f>
        <v>0.71750000000000003</v>
      </c>
      <c r="M30" s="58">
        <f>IFERROR(INDEX('Team Ratings'!$D$2:$D$73,MATCH($E30,'Team Ratings'!$A$2:$A$73,0)),"")</f>
        <v>0.94079999999999997</v>
      </c>
      <c r="N30" s="59">
        <f>IFERROR(INDEX('Team Ratings'!$E$2:$E$73,MATCH($D30,'Team Ratings'!$A$2:$A$73,0)),"")</f>
        <v>116.7</v>
      </c>
      <c r="O30" s="59">
        <f>IFERROR(INDEX('Team Ratings'!$E$2:$E$73,MATCH($E30,'Team Ratings'!$A$2:$A$73,0)),"")</f>
        <v>121.5</v>
      </c>
      <c r="P30" s="59">
        <f>IFERROR(INDEX('Team Ratings'!$F$2:$F$73,MATCH($D30,'Team Ratings'!$A$2:$A$73,0)),"")</f>
        <v>107.6</v>
      </c>
      <c r="Q30" s="59">
        <f>IFERROR(INDEX('Team Ratings'!$F$2:$F$73,MATCH($E30,'Team Ratings'!$A$2:$A$73,0)),"")</f>
        <v>95.5</v>
      </c>
      <c r="R30" s="59">
        <f>IFERROR(INDEX('Team Ratings'!$G$2:$G$73,MATCH($D30,'Team Ratings'!$A$2:$A$73,0)),"")</f>
        <v>9.1</v>
      </c>
      <c r="S30" s="59">
        <f>IFERROR(INDEX('Team Ratings'!$G$2:$G$73,MATCH($E30,'Team Ratings'!$A$2:$A$73,0)),"")</f>
        <v>26</v>
      </c>
      <c r="T30" s="59">
        <f>IFERROR(INDEX('Team Ratings'!$H$2:$H$73,MATCH($D30,'Team Ratings'!$A$2:$A$73,0)),"")</f>
        <v>59.2</v>
      </c>
      <c r="U30" s="59">
        <f>IFERROR(INDEX('Team Ratings'!$H$2:$H$73,MATCH($E30,'Team Ratings'!$A$2:$A$73,0)),"")</f>
        <v>51.6</v>
      </c>
      <c r="V30" s="59">
        <f>IFERROR(INDEX('Team Ratings'!$K$2:$K$73,MATCH($D30,'Team Ratings'!$A$2:$A$73,0)),"")</f>
        <v>17.5</v>
      </c>
      <c r="W30" s="59">
        <f>IFERROR(INDEX('Team Ratings'!$K$2:$K$73,MATCH($E30,'Team Ratings'!$A$2:$A$73,0)),"")</f>
        <v>16.3</v>
      </c>
      <c r="X30" s="59">
        <f>IFERROR(INDEX('Team Ratings'!$L$2:$L$73,MATCH($D30,'Team Ratings'!$A$2:$A$73,0)),"")</f>
        <v>25.3</v>
      </c>
      <c r="Y30" s="59">
        <f>IFERROR(INDEX('Team Ratings'!$L$2:$L$73,MATCH($E30,'Team Ratings'!$A$2:$A$73,0)),"")</f>
        <v>45.1</v>
      </c>
      <c r="Z30" s="59">
        <f>IFERROR(INDEX('Team Ratings'!$M$2:$M$73,MATCH($D30,'Team Ratings'!$A$2:$A$73,0)),"")</f>
        <v>28.1</v>
      </c>
      <c r="AA30" s="59">
        <f>IFERROR(INDEX('Team Ratings'!$M$2:$M$73,MATCH($E30,'Team Ratings'!$A$2:$A$73,0)),"")</f>
        <v>27.9</v>
      </c>
      <c r="AB30" s="59">
        <f>IFERROR(INDEX('Team Ratings'!$O$2:$O$73,MATCH($D30,'Team Ratings'!$A$2:$A$73,0)),"")</f>
        <v>37.5</v>
      </c>
      <c r="AC30" s="59">
        <f>IFERROR(INDEX('Team Ratings'!$O$2:$O$73,MATCH($E30,'Team Ratings'!$A$2:$A$73,0)),"")</f>
        <v>33.4</v>
      </c>
      <c r="AD30" s="59">
        <f>IFERROR(INDEX('Team Ratings'!$Q$2:$Q$73,MATCH($D30,'Team Ratings'!$A$2:$A$73,0)),"")</f>
        <v>0</v>
      </c>
      <c r="AE30" s="59">
        <f>IFERROR(INDEX('Team Ratings'!$Q$2:$Q$73,MATCH($E30,'Team Ratings'!$A$2:$A$73,0)),"")</f>
        <v>0</v>
      </c>
      <c r="AF30" s="56" t="s">
        <v>395</v>
      </c>
      <c r="AG30" s="56" t="s">
        <v>84</v>
      </c>
      <c r="AH30" s="57" t="s">
        <v>394</v>
      </c>
    </row>
    <row r="31" spans="1:34" ht="20" customHeight="1" x14ac:dyDescent="0.2">
      <c r="A31" s="56" t="s">
        <v>141</v>
      </c>
      <c r="B31" s="56" t="s">
        <v>201</v>
      </c>
      <c r="C31" s="56">
        <v>130</v>
      </c>
      <c r="D31" s="56" t="s">
        <v>81</v>
      </c>
      <c r="E31" s="56" t="s">
        <v>94</v>
      </c>
      <c r="F31" s="56" t="s">
        <v>81</v>
      </c>
      <c r="G31" s="56" t="s">
        <v>425</v>
      </c>
      <c r="H31" s="56" t="s">
        <v>258</v>
      </c>
      <c r="I31" s="57" t="s">
        <v>394</v>
      </c>
      <c r="J31" s="56">
        <f>IFERROR(INDEX('Team Ratings'!$B$2:$B$73,MATCH($D31,'Team Ratings'!$A$2:$A$73,0)),"")</f>
        <v>3</v>
      </c>
      <c r="K31" s="56">
        <f>IFERROR(INDEX('Team Ratings'!$B$2:$B$73,MATCH($E31,'Team Ratings'!$A$2:$A$73,0)),"")</f>
        <v>14</v>
      </c>
      <c r="L31" s="58">
        <f>IFERROR(INDEX('Team Ratings'!$D$2:$D$73,MATCH($D31,'Team Ratings'!$A$2:$A$73,0)),"")</f>
        <v>0.94269999999999998</v>
      </c>
      <c r="M31" s="58">
        <f>IFERROR(INDEX('Team Ratings'!$D$2:$D$73,MATCH($E31,'Team Ratings'!$A$2:$A$73,0)),"")</f>
        <v>0.58589999999999998</v>
      </c>
      <c r="N31" s="59">
        <f>IFERROR(INDEX('Team Ratings'!$E$2:$E$73,MATCH($D31,'Team Ratings'!$A$2:$A$73,0)),"")</f>
        <v>122.3</v>
      </c>
      <c r="O31" s="59">
        <f>IFERROR(INDEX('Team Ratings'!$E$2:$E$73,MATCH($E31,'Team Ratings'!$A$2:$A$73,0)),"")</f>
        <v>112.4</v>
      </c>
      <c r="P31" s="59">
        <f>IFERROR(INDEX('Team Ratings'!$F$2:$F$73,MATCH($D31,'Team Ratings'!$A$2:$A$73,0)),"")</f>
        <v>95.8</v>
      </c>
      <c r="Q31" s="59">
        <f>IFERROR(INDEX('Team Ratings'!$F$2:$F$73,MATCH($E31,'Team Ratings'!$A$2:$A$73,0)),"")</f>
        <v>109</v>
      </c>
      <c r="R31" s="59">
        <f>IFERROR(INDEX('Team Ratings'!$G$2:$G$73,MATCH($D31,'Team Ratings'!$A$2:$A$73,0)),"")</f>
        <v>26.5</v>
      </c>
      <c r="S31" s="59">
        <f>IFERROR(INDEX('Team Ratings'!$G$2:$G$73,MATCH($E31,'Team Ratings'!$A$2:$A$73,0)),"")</f>
        <v>3.4</v>
      </c>
      <c r="T31" s="59">
        <f>IFERROR(INDEX('Team Ratings'!$H$2:$H$73,MATCH($D31,'Team Ratings'!$A$2:$A$73,0)),"")</f>
        <v>54.6</v>
      </c>
      <c r="U31" s="59">
        <f>IFERROR(INDEX('Team Ratings'!$H$2:$H$73,MATCH($E31,'Team Ratings'!$A$2:$A$73,0)),"")</f>
        <v>54.4</v>
      </c>
      <c r="V31" s="59">
        <f>IFERROR(INDEX('Team Ratings'!$K$2:$K$73,MATCH($D31,'Team Ratings'!$A$2:$A$73,0)),"")</f>
        <v>15.6</v>
      </c>
      <c r="W31" s="59">
        <f>IFERROR(INDEX('Team Ratings'!$K$2:$K$73,MATCH($E31,'Team Ratings'!$A$2:$A$73,0)),"")</f>
        <v>16.5</v>
      </c>
      <c r="X31" s="59">
        <f>IFERROR(INDEX('Team Ratings'!$L$2:$L$73,MATCH($D31,'Team Ratings'!$A$2:$A$73,0)),"")</f>
        <v>37.9</v>
      </c>
      <c r="Y31" s="59">
        <f>IFERROR(INDEX('Team Ratings'!$L$2:$L$73,MATCH($E31,'Team Ratings'!$A$2:$A$73,0)),"")</f>
        <v>33.200000000000003</v>
      </c>
      <c r="Z31" s="59">
        <f>IFERROR(INDEX('Team Ratings'!$M$2:$M$73,MATCH($D31,'Team Ratings'!$A$2:$A$73,0)),"")</f>
        <v>29.2</v>
      </c>
      <c r="AA31" s="59">
        <f>IFERROR(INDEX('Team Ratings'!$M$2:$M$73,MATCH($E31,'Team Ratings'!$A$2:$A$73,0)),"")</f>
        <v>29.2</v>
      </c>
      <c r="AB31" s="59">
        <f>IFERROR(INDEX('Team Ratings'!$O$2:$O$73,MATCH($D31,'Team Ratings'!$A$2:$A$73,0)),"")</f>
        <v>35.9</v>
      </c>
      <c r="AC31" s="59">
        <f>IFERROR(INDEX('Team Ratings'!$O$2:$O$73,MATCH($E31,'Team Ratings'!$A$2:$A$73,0)),"")</f>
        <v>36.1</v>
      </c>
      <c r="AD31" s="59">
        <f>IFERROR(INDEX('Team Ratings'!$Q$2:$Q$73,MATCH($D31,'Team Ratings'!$A$2:$A$73,0)),"")</f>
        <v>0</v>
      </c>
      <c r="AE31" s="59">
        <f>IFERROR(INDEX('Team Ratings'!$Q$2:$Q$73,MATCH($E31,'Team Ratings'!$A$2:$A$73,0)),"")</f>
        <v>0</v>
      </c>
      <c r="AF31" s="56" t="s">
        <v>395</v>
      </c>
      <c r="AG31" s="56" t="s">
        <v>81</v>
      </c>
      <c r="AH31" s="57" t="s">
        <v>394</v>
      </c>
    </row>
    <row r="32" spans="1:34" ht="20" customHeight="1" x14ac:dyDescent="0.2">
      <c r="A32" s="56" t="s">
        <v>164</v>
      </c>
      <c r="B32" s="56" t="s">
        <v>201</v>
      </c>
      <c r="C32" s="56">
        <v>131</v>
      </c>
      <c r="D32" s="56" t="s">
        <v>88</v>
      </c>
      <c r="E32" s="56" t="s">
        <v>85</v>
      </c>
      <c r="F32" s="56" t="s">
        <v>85</v>
      </c>
      <c r="G32" s="56" t="s">
        <v>426</v>
      </c>
      <c r="H32" s="56" t="s">
        <v>259</v>
      </c>
      <c r="I32" s="57" t="s">
        <v>394</v>
      </c>
      <c r="J32" s="56">
        <f>IFERROR(INDEX('Team Ratings'!$B$2:$B$73,MATCH($D32,'Team Ratings'!$A$2:$A$73,0)),"")</f>
        <v>10</v>
      </c>
      <c r="K32" s="56">
        <f>IFERROR(INDEX('Team Ratings'!$B$2:$B$73,MATCH($E32,'Team Ratings'!$A$2:$A$73,0)),"")</f>
        <v>7</v>
      </c>
      <c r="L32" s="58">
        <f>IFERROR(INDEX('Team Ratings'!$D$2:$D$73,MATCH($D32,'Team Ratings'!$A$2:$A$73,0)),"")</f>
        <v>0.89500000000000002</v>
      </c>
      <c r="M32" s="58">
        <f>IFERROR(INDEX('Team Ratings'!$D$2:$D$73,MATCH($E32,'Team Ratings'!$A$2:$A$73,0)),"")</f>
        <v>0.89</v>
      </c>
      <c r="N32" s="59">
        <f>IFERROR(INDEX('Team Ratings'!$E$2:$E$73,MATCH($D32,'Team Ratings'!$A$2:$A$73,0)),"")</f>
        <v>125</v>
      </c>
      <c r="O32" s="59">
        <f>IFERROR(INDEX('Team Ratings'!$E$2:$E$73,MATCH($E32,'Team Ratings'!$A$2:$A$73,0)),"")</f>
        <v>119.9</v>
      </c>
      <c r="P32" s="59">
        <f>IFERROR(INDEX('Team Ratings'!$F$2:$F$73,MATCH($D32,'Team Ratings'!$A$2:$A$73,0)),"")</f>
        <v>103.8</v>
      </c>
      <c r="Q32" s="59">
        <f>IFERROR(INDEX('Team Ratings'!$F$2:$F$73,MATCH($E32,'Team Ratings'!$A$2:$A$73,0)),"")</f>
        <v>100</v>
      </c>
      <c r="R32" s="59">
        <f>IFERROR(INDEX('Team Ratings'!$G$2:$G$73,MATCH($D32,'Team Ratings'!$A$2:$A$73,0)),"")</f>
        <v>21.2</v>
      </c>
      <c r="S32" s="59">
        <f>IFERROR(INDEX('Team Ratings'!$G$2:$G$73,MATCH($E32,'Team Ratings'!$A$2:$A$73,0)),"")</f>
        <v>19.899999999999999</v>
      </c>
      <c r="T32" s="59">
        <f>IFERROR(INDEX('Team Ratings'!$H$2:$H$73,MATCH($D32,'Team Ratings'!$A$2:$A$73,0)),"")</f>
        <v>54.6</v>
      </c>
      <c r="U32" s="59">
        <f>IFERROR(INDEX('Team Ratings'!$H$2:$H$73,MATCH($E32,'Team Ratings'!$A$2:$A$73,0)),"")</f>
        <v>53.1</v>
      </c>
      <c r="V32" s="59">
        <f>IFERROR(INDEX('Team Ratings'!$K$2:$K$73,MATCH($D32,'Team Ratings'!$A$2:$A$73,0)),"")</f>
        <v>20.100000000000001</v>
      </c>
      <c r="W32" s="59">
        <f>IFERROR(INDEX('Team Ratings'!$K$2:$K$73,MATCH($E32,'Team Ratings'!$A$2:$A$73,0)),"")</f>
        <v>15.8</v>
      </c>
      <c r="X32" s="59">
        <f>IFERROR(INDEX('Team Ratings'!$L$2:$L$73,MATCH($D32,'Team Ratings'!$A$2:$A$73,0)),"")</f>
        <v>36.700000000000003</v>
      </c>
      <c r="Y32" s="59">
        <f>IFERROR(INDEX('Team Ratings'!$L$2:$L$73,MATCH($E32,'Team Ratings'!$A$2:$A$73,0)),"")</f>
        <v>33.799999999999997</v>
      </c>
      <c r="Z32" s="59">
        <f>IFERROR(INDEX('Team Ratings'!$M$2:$M$73,MATCH($D32,'Team Ratings'!$A$2:$A$73,0)),"")</f>
        <v>32.299999999999997</v>
      </c>
      <c r="AA32" s="59">
        <f>IFERROR(INDEX('Team Ratings'!$M$2:$M$73,MATCH($E32,'Team Ratings'!$A$2:$A$73,0)),"")</f>
        <v>30.1</v>
      </c>
      <c r="AB32" s="59">
        <f>IFERROR(INDEX('Team Ratings'!$O$2:$O$73,MATCH($D32,'Team Ratings'!$A$2:$A$73,0)),"")</f>
        <v>34.9</v>
      </c>
      <c r="AC32" s="59">
        <f>IFERROR(INDEX('Team Ratings'!$O$2:$O$73,MATCH($E32,'Team Ratings'!$A$2:$A$73,0)),"")</f>
        <v>34.1</v>
      </c>
      <c r="AD32" s="59">
        <f>IFERROR(INDEX('Team Ratings'!$Q$2:$Q$73,MATCH($D32,'Team Ratings'!$A$2:$A$73,0)),"")</f>
        <v>0</v>
      </c>
      <c r="AE32" s="59">
        <f>IFERROR(INDEX('Team Ratings'!$Q$2:$Q$73,MATCH($E32,'Team Ratings'!$A$2:$A$73,0)),"")</f>
        <v>-1</v>
      </c>
      <c r="AF32" s="56" t="s">
        <v>395</v>
      </c>
      <c r="AG32" s="56" t="s">
        <v>88</v>
      </c>
      <c r="AH32" s="60" t="s">
        <v>397</v>
      </c>
    </row>
    <row r="33" spans="1:34" ht="20" customHeight="1" x14ac:dyDescent="0.2">
      <c r="A33" s="56" t="s">
        <v>133</v>
      </c>
      <c r="B33" s="56" t="s">
        <v>201</v>
      </c>
      <c r="C33" s="56">
        <v>132</v>
      </c>
      <c r="D33" s="56" t="s">
        <v>80</v>
      </c>
      <c r="E33" s="56" t="s">
        <v>95</v>
      </c>
      <c r="F33" s="56" t="s">
        <v>80</v>
      </c>
      <c r="G33" s="56" t="s">
        <v>427</v>
      </c>
      <c r="H33" s="56" t="s">
        <v>260</v>
      </c>
      <c r="I33" s="57" t="s">
        <v>394</v>
      </c>
      <c r="J33" s="56">
        <f>IFERROR(INDEX('Team Ratings'!$B$2:$B$73,MATCH($D33,'Team Ratings'!$A$2:$A$73,0)),"")</f>
        <v>2</v>
      </c>
      <c r="K33" s="56">
        <f>IFERROR(INDEX('Team Ratings'!$B$2:$B$73,MATCH($E33,'Team Ratings'!$A$2:$A$73,0)),"")</f>
        <v>15</v>
      </c>
      <c r="L33" s="58">
        <f>IFERROR(INDEX('Team Ratings'!$D$2:$D$73,MATCH($D33,'Team Ratings'!$A$2:$A$73,0)),"")</f>
        <v>0.96550000000000002</v>
      </c>
      <c r="M33" s="58">
        <f>IFERROR(INDEX('Team Ratings'!$D$2:$D$73,MATCH($E33,'Team Ratings'!$A$2:$A$73,0)),"")</f>
        <v>0.39510000000000001</v>
      </c>
      <c r="N33" s="59">
        <f>IFERROR(INDEX('Team Ratings'!$E$2:$E$73,MATCH($D33,'Team Ratings'!$A$2:$A$73,0)),"")</f>
        <v>123.8</v>
      </c>
      <c r="O33" s="59">
        <f>IFERROR(INDEX('Team Ratings'!$E$2:$E$73,MATCH($E33,'Team Ratings'!$A$2:$A$73,0)),"")</f>
        <v>107.8</v>
      </c>
      <c r="P33" s="59">
        <f>IFERROR(INDEX('Team Ratings'!$F$2:$F$73,MATCH($D33,'Team Ratings'!$A$2:$A$73,0)),"")</f>
        <v>92.6</v>
      </c>
      <c r="Q33" s="59">
        <f>IFERROR(INDEX('Team Ratings'!$F$2:$F$73,MATCH($E33,'Team Ratings'!$A$2:$A$73,0)),"")</f>
        <v>111.9</v>
      </c>
      <c r="R33" s="59">
        <f>IFERROR(INDEX('Team Ratings'!$G$2:$G$73,MATCH($D33,'Team Ratings'!$A$2:$A$73,0)),"")</f>
        <v>31.2</v>
      </c>
      <c r="S33" s="59">
        <f>IFERROR(INDEX('Team Ratings'!$G$2:$G$73,MATCH($E33,'Team Ratings'!$A$2:$A$73,0)),"")</f>
        <v>-4.0999999999999996</v>
      </c>
      <c r="T33" s="59">
        <f>IFERROR(INDEX('Team Ratings'!$H$2:$H$73,MATCH($D33,'Team Ratings'!$A$2:$A$73,0)),"")</f>
        <v>56.5</v>
      </c>
      <c r="U33" s="59">
        <f>IFERROR(INDEX('Team Ratings'!$H$2:$H$73,MATCH($E33,'Team Ratings'!$A$2:$A$73,0)),"")</f>
        <v>50.1</v>
      </c>
      <c r="V33" s="59">
        <f>IFERROR(INDEX('Team Ratings'!$K$2:$K$73,MATCH($D33,'Team Ratings'!$A$2:$A$73,0)),"")</f>
        <v>22.4</v>
      </c>
      <c r="W33" s="59">
        <f>IFERROR(INDEX('Team Ratings'!$K$2:$K$73,MATCH($E33,'Team Ratings'!$A$2:$A$73,0)),"")</f>
        <v>20</v>
      </c>
      <c r="X33" s="59">
        <f>IFERROR(INDEX('Team Ratings'!$L$2:$L$73,MATCH($D33,'Team Ratings'!$A$2:$A$73,0)),"")</f>
        <v>35.299999999999997</v>
      </c>
      <c r="Y33" s="59">
        <f>IFERROR(INDEX('Team Ratings'!$L$2:$L$73,MATCH($E33,'Team Ratings'!$A$2:$A$73,0)),"")</f>
        <v>34.9</v>
      </c>
      <c r="Z33" s="59">
        <f>IFERROR(INDEX('Team Ratings'!$M$2:$M$73,MATCH($D33,'Team Ratings'!$A$2:$A$73,0)),"")</f>
        <v>28.1</v>
      </c>
      <c r="AA33" s="59">
        <f>IFERROR(INDEX('Team Ratings'!$M$2:$M$73,MATCH($E33,'Team Ratings'!$A$2:$A$73,0)),"")</f>
        <v>29.9</v>
      </c>
      <c r="AB33" s="59">
        <f>IFERROR(INDEX('Team Ratings'!$O$2:$O$73,MATCH($D33,'Team Ratings'!$A$2:$A$73,0)),"")</f>
        <v>38.700000000000003</v>
      </c>
      <c r="AC33" s="59">
        <f>IFERROR(INDEX('Team Ratings'!$O$2:$O$73,MATCH($E33,'Team Ratings'!$A$2:$A$73,0)),"")</f>
        <v>33.700000000000003</v>
      </c>
      <c r="AD33" s="59">
        <f>IFERROR(INDEX('Team Ratings'!$Q$2:$Q$73,MATCH($D33,'Team Ratings'!$A$2:$A$73,0)),"")</f>
        <v>0</v>
      </c>
      <c r="AE33" s="59">
        <f>IFERROR(INDEX('Team Ratings'!$Q$2:$Q$73,MATCH($E33,'Team Ratings'!$A$2:$A$73,0)),"")</f>
        <v>0</v>
      </c>
      <c r="AF33" s="56" t="s">
        <v>395</v>
      </c>
      <c r="AG33" s="56" t="s">
        <v>80</v>
      </c>
      <c r="AH33" s="57" t="s">
        <v>394</v>
      </c>
    </row>
    <row r="34" spans="1:34" ht="20" customHeight="1" x14ac:dyDescent="0.2">
      <c r="A34" s="56" t="s">
        <v>122</v>
      </c>
      <c r="B34" s="56" t="s">
        <v>202</v>
      </c>
      <c r="C34" s="56">
        <v>201</v>
      </c>
      <c r="D34" s="56" t="s">
        <v>21</v>
      </c>
      <c r="E34" s="56" t="s">
        <v>31</v>
      </c>
      <c r="F34" s="56" t="s">
        <v>21</v>
      </c>
      <c r="G34" s="56" t="s">
        <v>428</v>
      </c>
      <c r="H34" s="56" t="s">
        <v>429</v>
      </c>
      <c r="I34" s="57" t="s">
        <v>394</v>
      </c>
      <c r="J34" s="56">
        <f>IFERROR(INDEX('Team Ratings'!$B$2:$B$73,MATCH($D34,'Team Ratings'!$A$2:$A$73,0)),"")</f>
        <v>1</v>
      </c>
      <c r="K34" s="56">
        <f>IFERROR(INDEX('Team Ratings'!$B$2:$B$73,MATCH($E34,'Team Ratings'!$A$2:$A$73,0)),"")</f>
        <v>9</v>
      </c>
      <c r="L34" s="58">
        <f>IFERROR(INDEX('Team Ratings'!$D$2:$D$73,MATCH($D34,'Team Ratings'!$A$2:$A$73,0)),"")</f>
        <v>0.98129999999999995</v>
      </c>
      <c r="M34" s="58">
        <f>IFERROR(INDEX('Team Ratings'!$D$2:$D$73,MATCH($E34,'Team Ratings'!$A$2:$A$73,0)),"")</f>
        <v>0.8367</v>
      </c>
      <c r="N34" s="59">
        <f>IFERROR(INDEX('Team Ratings'!$E$2:$E$73,MATCH($D34,'Team Ratings'!$A$2:$A$73,0)),"")</f>
        <v>128.19999999999999</v>
      </c>
      <c r="O34" s="59">
        <f>IFERROR(INDEX('Team Ratings'!$E$2:$E$73,MATCH($E34,'Team Ratings'!$A$2:$A$73,0)),"")</f>
        <v>114.9</v>
      </c>
      <c r="P34" s="59">
        <f>IFERROR(INDEX('Team Ratings'!$F$2:$F$73,MATCH($D34,'Team Ratings'!$A$2:$A$73,0)),"")</f>
        <v>90.8</v>
      </c>
      <c r="Q34" s="59">
        <f>IFERROR(INDEX('Team Ratings'!$F$2:$F$73,MATCH($E34,'Team Ratings'!$A$2:$A$73,0)),"")</f>
        <v>99.6</v>
      </c>
      <c r="R34" s="59">
        <f>IFERROR(INDEX('Team Ratings'!$G$2:$G$73,MATCH($D34,'Team Ratings'!$A$2:$A$73,0)),"")</f>
        <v>37.4</v>
      </c>
      <c r="S34" s="59">
        <f>IFERROR(INDEX('Team Ratings'!$G$2:$G$73,MATCH($E34,'Team Ratings'!$A$2:$A$73,0)),"")</f>
        <v>15.3</v>
      </c>
      <c r="T34" s="59">
        <f>IFERROR(INDEX('Team Ratings'!$H$2:$H$73,MATCH($D34,'Team Ratings'!$A$2:$A$73,0)),"")</f>
        <v>56.8</v>
      </c>
      <c r="U34" s="59">
        <f>IFERROR(INDEX('Team Ratings'!$H$2:$H$73,MATCH($E34,'Team Ratings'!$A$2:$A$73,0)),"")</f>
        <v>50.9</v>
      </c>
      <c r="V34" s="59">
        <f>IFERROR(INDEX('Team Ratings'!$K$2:$K$73,MATCH($D34,'Team Ratings'!$A$2:$A$73,0)),"")</f>
        <v>18.100000000000001</v>
      </c>
      <c r="W34" s="59">
        <f>IFERROR(INDEX('Team Ratings'!$K$2:$K$73,MATCH($E34,'Team Ratings'!$A$2:$A$73,0)),"")</f>
        <v>19.7</v>
      </c>
      <c r="X34" s="59">
        <f>IFERROR(INDEX('Team Ratings'!$L$2:$L$73,MATCH($D34,'Team Ratings'!$A$2:$A$73,0)),"")</f>
        <v>38.1</v>
      </c>
      <c r="Y34" s="59">
        <f>IFERROR(INDEX('Team Ratings'!$L$2:$L$73,MATCH($E34,'Team Ratings'!$A$2:$A$73,0)),"")</f>
        <v>34.4</v>
      </c>
      <c r="Z34" s="59">
        <f>IFERROR(INDEX('Team Ratings'!$M$2:$M$73,MATCH($D34,'Team Ratings'!$A$2:$A$73,0)),"")</f>
        <v>24.8</v>
      </c>
      <c r="AA34" s="59">
        <f>IFERROR(INDEX('Team Ratings'!$M$2:$M$73,MATCH($E34,'Team Ratings'!$A$2:$A$73,0)),"")</f>
        <v>29.2</v>
      </c>
      <c r="AB34" s="59">
        <f>IFERROR(INDEX('Team Ratings'!$O$2:$O$73,MATCH($D34,'Team Ratings'!$A$2:$A$73,0)),"")</f>
        <v>35.1</v>
      </c>
      <c r="AC34" s="59">
        <f>IFERROR(INDEX('Team Ratings'!$O$2:$O$73,MATCH($E34,'Team Ratings'!$A$2:$A$73,0)),"")</f>
        <v>33.1</v>
      </c>
      <c r="AD34" s="59">
        <f>IFERROR(INDEX('Team Ratings'!$Q$2:$Q$73,MATCH($D34,'Team Ratings'!$A$2:$A$73,0)),"")</f>
        <v>-2.5</v>
      </c>
      <c r="AE34" s="59">
        <f>IFERROR(INDEX('Team Ratings'!$Q$2:$Q$73,MATCH($E34,'Team Ratings'!$A$2:$A$73,0)),"")</f>
        <v>0</v>
      </c>
      <c r="AF34" s="56" t="s">
        <v>395</v>
      </c>
      <c r="AG34" s="56" t="s">
        <v>30</v>
      </c>
      <c r="AH34" s="60" t="s">
        <v>397</v>
      </c>
    </row>
    <row r="35" spans="1:34" ht="20" customHeight="1" x14ac:dyDescent="0.2">
      <c r="A35" s="56" t="s">
        <v>148</v>
      </c>
      <c r="B35" s="56" t="s">
        <v>202</v>
      </c>
      <c r="C35" s="56">
        <v>202</v>
      </c>
      <c r="D35" s="56" t="s">
        <v>27</v>
      </c>
      <c r="E35" s="56" t="s">
        <v>26</v>
      </c>
      <c r="F35" s="56" t="s">
        <v>27</v>
      </c>
      <c r="G35" s="56" t="s">
        <v>430</v>
      </c>
      <c r="H35" s="56" t="s">
        <v>431</v>
      </c>
      <c r="I35" s="57" t="s">
        <v>394</v>
      </c>
      <c r="J35" s="56">
        <f>IFERROR(INDEX('Team Ratings'!$B$2:$B$73,MATCH($D35,'Team Ratings'!$A$2:$A$73,0)),"")</f>
        <v>5</v>
      </c>
      <c r="K35" s="56">
        <f>IFERROR(INDEX('Team Ratings'!$B$2:$B$73,MATCH($E35,'Team Ratings'!$A$2:$A$73,0)),"")</f>
        <v>4</v>
      </c>
      <c r="L35" s="58">
        <f>IFERROR(INDEX('Team Ratings'!$D$2:$D$73,MATCH($D35,'Team Ratings'!$A$2:$A$73,0)),"")</f>
        <v>0.9415</v>
      </c>
      <c r="M35" s="58">
        <f>IFERROR(INDEX('Team Ratings'!$D$2:$D$73,MATCH($E35,'Team Ratings'!$A$2:$A$73,0)),"")</f>
        <v>0.92779999999999996</v>
      </c>
      <c r="N35" s="59">
        <f>IFERROR(INDEX('Team Ratings'!$E$2:$E$73,MATCH($D35,'Team Ratings'!$A$2:$A$73,0)),"")</f>
        <v>119.8</v>
      </c>
      <c r="O35" s="59">
        <f>IFERROR(INDEX('Team Ratings'!$E$2:$E$73,MATCH($E35,'Team Ratings'!$A$2:$A$73,0)),"")</f>
        <v>117.8</v>
      </c>
      <c r="P35" s="59">
        <f>IFERROR(INDEX('Team Ratings'!$F$2:$F$73,MATCH($D35,'Team Ratings'!$A$2:$A$73,0)),"")</f>
        <v>94.1</v>
      </c>
      <c r="Q35" s="59">
        <f>IFERROR(INDEX('Team Ratings'!$F$2:$F$73,MATCH($E35,'Team Ratings'!$A$2:$A$73,0)),"")</f>
        <v>94.4</v>
      </c>
      <c r="R35" s="59">
        <f>IFERROR(INDEX('Team Ratings'!$G$2:$G$73,MATCH($D35,'Team Ratings'!$A$2:$A$73,0)),"")</f>
        <v>25.7</v>
      </c>
      <c r="S35" s="59">
        <f>IFERROR(INDEX('Team Ratings'!$G$2:$G$73,MATCH($E35,'Team Ratings'!$A$2:$A$73,0)),"")</f>
        <v>23.4</v>
      </c>
      <c r="T35" s="59">
        <f>IFERROR(INDEX('Team Ratings'!$H$2:$H$73,MATCH($D35,'Team Ratings'!$A$2:$A$73,0)),"")</f>
        <v>51</v>
      </c>
      <c r="U35" s="59">
        <f>IFERROR(INDEX('Team Ratings'!$H$2:$H$73,MATCH($E35,'Team Ratings'!$A$2:$A$73,0)),"")</f>
        <v>51.6</v>
      </c>
      <c r="V35" s="59">
        <f>IFERROR(INDEX('Team Ratings'!$K$2:$K$73,MATCH($D35,'Team Ratings'!$A$2:$A$73,0)),"")</f>
        <v>19.399999999999999</v>
      </c>
      <c r="W35" s="59">
        <f>IFERROR(INDEX('Team Ratings'!$K$2:$K$73,MATCH($E35,'Team Ratings'!$A$2:$A$73,0)),"")</f>
        <v>14</v>
      </c>
      <c r="X35" s="59">
        <f>IFERROR(INDEX('Team Ratings'!$L$2:$L$73,MATCH($D35,'Team Ratings'!$A$2:$A$73,0)),"")</f>
        <v>35.9</v>
      </c>
      <c r="Y35" s="59">
        <f>IFERROR(INDEX('Team Ratings'!$L$2:$L$73,MATCH($E35,'Team Ratings'!$A$2:$A$73,0)),"")</f>
        <v>29.5</v>
      </c>
      <c r="Z35" s="59">
        <f>IFERROR(INDEX('Team Ratings'!$M$2:$M$73,MATCH($D35,'Team Ratings'!$A$2:$A$73,0)),"")</f>
        <v>30.2</v>
      </c>
      <c r="AA35" s="59">
        <f>IFERROR(INDEX('Team Ratings'!$M$2:$M$73,MATCH($E35,'Team Ratings'!$A$2:$A$73,0)),"")</f>
        <v>30.1</v>
      </c>
      <c r="AB35" s="59">
        <f>IFERROR(INDEX('Team Ratings'!$O$2:$O$73,MATCH($D35,'Team Ratings'!$A$2:$A$73,0)),"")</f>
        <v>33.200000000000003</v>
      </c>
      <c r="AC35" s="59">
        <f>IFERROR(INDEX('Team Ratings'!$O$2:$O$73,MATCH($E35,'Team Ratings'!$A$2:$A$73,0)),"")</f>
        <v>35</v>
      </c>
      <c r="AD35" s="59">
        <f>IFERROR(INDEX('Team Ratings'!$Q$2:$Q$73,MATCH($D35,'Team Ratings'!$A$2:$A$73,0)),"")</f>
        <v>0</v>
      </c>
      <c r="AE35" s="59">
        <f>IFERROR(INDEX('Team Ratings'!$Q$2:$Q$73,MATCH($E35,'Team Ratings'!$A$2:$A$73,0)),"")</f>
        <v>0</v>
      </c>
      <c r="AF35" s="56" t="s">
        <v>395</v>
      </c>
      <c r="AG35" s="56" t="s">
        <v>27</v>
      </c>
      <c r="AH35" s="57" t="s">
        <v>394</v>
      </c>
    </row>
    <row r="36" spans="1:34" ht="20" customHeight="1" x14ac:dyDescent="0.2">
      <c r="A36" s="56" t="s">
        <v>140</v>
      </c>
      <c r="B36" s="56" t="s">
        <v>202</v>
      </c>
      <c r="C36" s="56">
        <v>203</v>
      </c>
      <c r="D36" s="56" t="s">
        <v>28</v>
      </c>
      <c r="E36" s="56" t="s">
        <v>25</v>
      </c>
      <c r="F36" s="56" t="s">
        <v>25</v>
      </c>
      <c r="G36" s="56" t="s">
        <v>432</v>
      </c>
      <c r="H36" s="56" t="s">
        <v>433</v>
      </c>
      <c r="I36" s="57" t="s">
        <v>394</v>
      </c>
      <c r="J36" s="56">
        <f>IFERROR(INDEX('Team Ratings'!$B$2:$B$73,MATCH($D36,'Team Ratings'!$A$2:$A$73,0)),"")</f>
        <v>6</v>
      </c>
      <c r="K36" s="56">
        <f>IFERROR(INDEX('Team Ratings'!$B$2:$B$73,MATCH($E36,'Team Ratings'!$A$2:$A$73,0)),"")</f>
        <v>3</v>
      </c>
      <c r="L36" s="58">
        <f>IFERROR(INDEX('Team Ratings'!$D$2:$D$73,MATCH($D36,'Team Ratings'!$A$2:$A$73,0)),"")</f>
        <v>0.93640000000000001</v>
      </c>
      <c r="M36" s="58">
        <f>IFERROR(INDEX('Team Ratings'!$D$2:$D$73,MATCH($E36,'Team Ratings'!$A$2:$A$73,0)),"")</f>
        <v>0.94379999999999997</v>
      </c>
      <c r="N36" s="59">
        <f>IFERROR(INDEX('Team Ratings'!$E$2:$E$73,MATCH($D36,'Team Ratings'!$A$2:$A$73,0)),"")</f>
        <v>124</v>
      </c>
      <c r="O36" s="59">
        <f>IFERROR(INDEX('Team Ratings'!$E$2:$E$73,MATCH($E36,'Team Ratings'!$A$2:$A$73,0)),"")</f>
        <v>122.9</v>
      </c>
      <c r="P36" s="59">
        <f>IFERROR(INDEX('Team Ratings'!$F$2:$F$73,MATCH($D36,'Team Ratings'!$A$2:$A$73,0)),"")</f>
        <v>98.2</v>
      </c>
      <c r="Q36" s="59">
        <f>IFERROR(INDEX('Team Ratings'!$F$2:$F$73,MATCH($E36,'Team Ratings'!$A$2:$A$73,0)),"")</f>
        <v>96.2</v>
      </c>
      <c r="R36" s="59">
        <f>IFERROR(INDEX('Team Ratings'!$G$2:$G$73,MATCH($D36,'Team Ratings'!$A$2:$A$73,0)),"")</f>
        <v>25.8</v>
      </c>
      <c r="S36" s="59">
        <f>IFERROR(INDEX('Team Ratings'!$G$2:$G$73,MATCH($E36,'Team Ratings'!$A$2:$A$73,0)),"")</f>
        <v>26.7</v>
      </c>
      <c r="T36" s="59">
        <f>IFERROR(INDEX('Team Ratings'!$H$2:$H$73,MATCH($D36,'Team Ratings'!$A$2:$A$73,0)),"")</f>
        <v>56.4</v>
      </c>
      <c r="U36" s="59">
        <f>IFERROR(INDEX('Team Ratings'!$H$2:$H$73,MATCH($E36,'Team Ratings'!$A$2:$A$73,0)),"")</f>
        <v>53.6</v>
      </c>
      <c r="V36" s="59">
        <f>IFERROR(INDEX('Team Ratings'!$K$2:$K$73,MATCH($D36,'Team Ratings'!$A$2:$A$73,0)),"")</f>
        <v>16.7</v>
      </c>
      <c r="W36" s="59">
        <f>IFERROR(INDEX('Team Ratings'!$K$2:$K$73,MATCH($E36,'Team Ratings'!$A$2:$A$73,0)),"")</f>
        <v>14.8</v>
      </c>
      <c r="X36" s="59">
        <f>IFERROR(INDEX('Team Ratings'!$L$2:$L$73,MATCH($D36,'Team Ratings'!$A$2:$A$73,0)),"")</f>
        <v>32.9</v>
      </c>
      <c r="Y36" s="59">
        <f>IFERROR(INDEX('Team Ratings'!$L$2:$L$73,MATCH($E36,'Team Ratings'!$A$2:$A$73,0)),"")</f>
        <v>38.5</v>
      </c>
      <c r="Z36" s="59">
        <f>IFERROR(INDEX('Team Ratings'!$M$2:$M$73,MATCH($D36,'Team Ratings'!$A$2:$A$73,0)),"")</f>
        <v>26.9</v>
      </c>
      <c r="AA36" s="59">
        <f>IFERROR(INDEX('Team Ratings'!$M$2:$M$73,MATCH($E36,'Team Ratings'!$A$2:$A$73,0)),"")</f>
        <v>22.6</v>
      </c>
      <c r="AB36" s="59">
        <f>IFERROR(INDEX('Team Ratings'!$O$2:$O$73,MATCH($D36,'Team Ratings'!$A$2:$A$73,0)),"")</f>
        <v>35.700000000000003</v>
      </c>
      <c r="AC36" s="59">
        <f>IFERROR(INDEX('Team Ratings'!$O$2:$O$73,MATCH($E36,'Team Ratings'!$A$2:$A$73,0)),"")</f>
        <v>35.9</v>
      </c>
      <c r="AD36" s="59">
        <f>IFERROR(INDEX('Team Ratings'!$Q$2:$Q$73,MATCH($D36,'Team Ratings'!$A$2:$A$73,0)),"")</f>
        <v>-2.5</v>
      </c>
      <c r="AE36" s="59">
        <f>IFERROR(INDEX('Team Ratings'!$Q$2:$Q$73,MATCH($E36,'Team Ratings'!$A$2:$A$73,0)),"")</f>
        <v>0</v>
      </c>
      <c r="AF36" s="56" t="s">
        <v>395</v>
      </c>
      <c r="AG36" s="56" t="s">
        <v>33</v>
      </c>
      <c r="AH36" s="60" t="s">
        <v>397</v>
      </c>
    </row>
    <row r="37" spans="1:34" ht="20" customHeight="1" x14ac:dyDescent="0.2">
      <c r="A37" s="56" t="s">
        <v>131</v>
      </c>
      <c r="B37" s="56" t="s">
        <v>202</v>
      </c>
      <c r="C37" s="56">
        <v>204</v>
      </c>
      <c r="D37" s="56" t="s">
        <v>29</v>
      </c>
      <c r="E37" s="56" t="s">
        <v>24</v>
      </c>
      <c r="F37" s="56" t="s">
        <v>24</v>
      </c>
      <c r="G37" s="56" t="s">
        <v>434</v>
      </c>
      <c r="H37" s="56" t="s">
        <v>264</v>
      </c>
      <c r="I37" s="57" t="s">
        <v>394</v>
      </c>
      <c r="J37" s="56">
        <f>IFERROR(INDEX('Team Ratings'!$B$2:$B$73,MATCH($D37,'Team Ratings'!$A$2:$A$73,0)),"")</f>
        <v>7</v>
      </c>
      <c r="K37" s="56">
        <f>IFERROR(INDEX('Team Ratings'!$B$2:$B$73,MATCH($E37,'Team Ratings'!$A$2:$A$73,0)),"")</f>
        <v>2</v>
      </c>
      <c r="L37" s="58">
        <f>IFERROR(INDEX('Team Ratings'!$D$2:$D$73,MATCH($D37,'Team Ratings'!$A$2:$A$73,0)),"")</f>
        <v>0.91069999999999995</v>
      </c>
      <c r="M37" s="58">
        <f>IFERROR(INDEX('Team Ratings'!$D$2:$D$73,MATCH($E37,'Team Ratings'!$A$2:$A$73,0)),"")</f>
        <v>0.95169999999999999</v>
      </c>
      <c r="N37" s="59">
        <f>IFERROR(INDEX('Team Ratings'!$E$2:$E$73,MATCH($D37,'Team Ratings'!$A$2:$A$73,0)),"")</f>
        <v>124.6</v>
      </c>
      <c r="O37" s="59">
        <f>IFERROR(INDEX('Team Ratings'!$E$2:$E$73,MATCH($E37,'Team Ratings'!$A$2:$A$73,0)),"")</f>
        <v>123.1</v>
      </c>
      <c r="P37" s="59">
        <f>IFERROR(INDEX('Team Ratings'!$F$2:$F$73,MATCH($D37,'Team Ratings'!$A$2:$A$73,0)),"")</f>
        <v>101.8</v>
      </c>
      <c r="Q37" s="59">
        <f>IFERROR(INDEX('Team Ratings'!$F$2:$F$73,MATCH($E37,'Team Ratings'!$A$2:$A$73,0)),"")</f>
        <v>95</v>
      </c>
      <c r="R37" s="59">
        <f>IFERROR(INDEX('Team Ratings'!$G$2:$G$73,MATCH($D37,'Team Ratings'!$A$2:$A$73,0)),"")</f>
        <v>22.8</v>
      </c>
      <c r="S37" s="59">
        <f>IFERROR(INDEX('Team Ratings'!$G$2:$G$73,MATCH($E37,'Team Ratings'!$A$2:$A$73,0)),"")</f>
        <v>28.1</v>
      </c>
      <c r="T37" s="59">
        <f>IFERROR(INDEX('Team Ratings'!$H$2:$H$73,MATCH($D37,'Team Ratings'!$A$2:$A$73,0)),"")</f>
        <v>53.9</v>
      </c>
      <c r="U37" s="59">
        <f>IFERROR(INDEX('Team Ratings'!$H$2:$H$73,MATCH($E37,'Team Ratings'!$A$2:$A$73,0)),"")</f>
        <v>55.3</v>
      </c>
      <c r="V37" s="59">
        <f>IFERROR(INDEX('Team Ratings'!$K$2:$K$73,MATCH($D37,'Team Ratings'!$A$2:$A$73,0)),"")</f>
        <v>18.100000000000001</v>
      </c>
      <c r="W37" s="59">
        <f>IFERROR(INDEX('Team Ratings'!$K$2:$K$73,MATCH($E37,'Team Ratings'!$A$2:$A$73,0)),"")</f>
        <v>18</v>
      </c>
      <c r="X37" s="59">
        <f>IFERROR(INDEX('Team Ratings'!$L$2:$L$73,MATCH($D37,'Team Ratings'!$A$2:$A$73,0)),"")</f>
        <v>31.1</v>
      </c>
      <c r="Y37" s="59">
        <f>IFERROR(INDEX('Team Ratings'!$L$2:$L$73,MATCH($E37,'Team Ratings'!$A$2:$A$73,0)),"")</f>
        <v>35.700000000000003</v>
      </c>
      <c r="Z37" s="59">
        <f>IFERROR(INDEX('Team Ratings'!$M$2:$M$73,MATCH($D37,'Team Ratings'!$A$2:$A$73,0)),"")</f>
        <v>32.4</v>
      </c>
      <c r="AA37" s="59">
        <f>IFERROR(INDEX('Team Ratings'!$M$2:$M$73,MATCH($E37,'Team Ratings'!$A$2:$A$73,0)),"")</f>
        <v>28.7</v>
      </c>
      <c r="AB37" s="59">
        <f>IFERROR(INDEX('Team Ratings'!$O$2:$O$73,MATCH($D37,'Team Ratings'!$A$2:$A$73,0)),"")</f>
        <v>38.200000000000003</v>
      </c>
      <c r="AC37" s="59">
        <f>IFERROR(INDEX('Team Ratings'!$O$2:$O$73,MATCH($E37,'Team Ratings'!$A$2:$A$73,0)),"")</f>
        <v>35.200000000000003</v>
      </c>
      <c r="AD37" s="59">
        <f>IFERROR(INDEX('Team Ratings'!$Q$2:$Q$73,MATCH($D37,'Team Ratings'!$A$2:$A$73,0)),"")</f>
        <v>-1</v>
      </c>
      <c r="AE37" s="59">
        <f>IFERROR(INDEX('Team Ratings'!$Q$2:$Q$73,MATCH($E37,'Team Ratings'!$A$2:$A$73,0)),"")</f>
        <v>0</v>
      </c>
      <c r="AF37" s="56" t="s">
        <v>395</v>
      </c>
      <c r="AG37" s="56" t="s">
        <v>29</v>
      </c>
      <c r="AH37" s="60" t="s">
        <v>397</v>
      </c>
    </row>
    <row r="38" spans="1:34" ht="20" customHeight="1" x14ac:dyDescent="0.2">
      <c r="A38" s="56" t="s">
        <v>129</v>
      </c>
      <c r="B38" s="56" t="s">
        <v>202</v>
      </c>
      <c r="C38" s="56">
        <v>205</v>
      </c>
      <c r="D38" s="56" t="s">
        <v>39</v>
      </c>
      <c r="E38" s="56" t="s">
        <v>48</v>
      </c>
      <c r="F38" s="56" t="s">
        <v>39</v>
      </c>
      <c r="G38" s="56" t="s">
        <v>435</v>
      </c>
      <c r="H38" s="56" t="s">
        <v>265</v>
      </c>
      <c r="I38" s="57" t="s">
        <v>394</v>
      </c>
      <c r="J38" s="56">
        <f>IFERROR(INDEX('Team Ratings'!$B$2:$B$73,MATCH($D38,'Team Ratings'!$A$2:$A$73,0)),"")</f>
        <v>1</v>
      </c>
      <c r="K38" s="56">
        <f>IFERROR(INDEX('Team Ratings'!$B$2:$B$73,MATCH($E38,'Team Ratings'!$A$2:$A$73,0)),"")</f>
        <v>9</v>
      </c>
      <c r="L38" s="58">
        <f>IFERROR(INDEX('Team Ratings'!$D$2:$D$73,MATCH($D38,'Team Ratings'!$A$2:$A$73,0)),"")</f>
        <v>0.97760000000000002</v>
      </c>
      <c r="M38" s="58">
        <f>IFERROR(INDEX('Team Ratings'!$D$2:$D$73,MATCH($E38,'Team Ratings'!$A$2:$A$73,0)),"")</f>
        <v>0.8952</v>
      </c>
      <c r="N38" s="59">
        <f>IFERROR(INDEX('Team Ratings'!$E$2:$E$73,MATCH($D38,'Team Ratings'!$A$2:$A$73,0)),"")</f>
        <v>126.9</v>
      </c>
      <c r="O38" s="59">
        <f>IFERROR(INDEX('Team Ratings'!$E$2:$E$73,MATCH($E38,'Team Ratings'!$A$2:$A$73,0)),"")</f>
        <v>123</v>
      </c>
      <c r="P38" s="59">
        <f>IFERROR(INDEX('Team Ratings'!$F$2:$F$73,MATCH($D38,'Team Ratings'!$A$2:$A$73,0)),"")</f>
        <v>91.4</v>
      </c>
      <c r="Q38" s="59">
        <f>IFERROR(INDEX('Team Ratings'!$F$2:$F$73,MATCH($E38,'Team Ratings'!$A$2:$A$73,0)),"")</f>
        <v>102.1</v>
      </c>
      <c r="R38" s="59">
        <f>IFERROR(INDEX('Team Ratings'!$G$2:$G$73,MATCH($D38,'Team Ratings'!$A$2:$A$73,0)),"")</f>
        <v>35.5</v>
      </c>
      <c r="S38" s="59">
        <f>IFERROR(INDEX('Team Ratings'!$G$2:$G$73,MATCH($E38,'Team Ratings'!$A$2:$A$73,0)),"")</f>
        <v>20.9</v>
      </c>
      <c r="T38" s="59">
        <f>IFERROR(INDEX('Team Ratings'!$H$2:$H$73,MATCH($D38,'Team Ratings'!$A$2:$A$73,0)),"")</f>
        <v>55.1</v>
      </c>
      <c r="U38" s="59">
        <f>IFERROR(INDEX('Team Ratings'!$H$2:$H$73,MATCH($E38,'Team Ratings'!$A$2:$A$73,0)),"")</f>
        <v>56.6</v>
      </c>
      <c r="V38" s="59">
        <f>IFERROR(INDEX('Team Ratings'!$K$2:$K$73,MATCH($D38,'Team Ratings'!$A$2:$A$73,0)),"")</f>
        <v>16.7</v>
      </c>
      <c r="W38" s="59">
        <f>IFERROR(INDEX('Team Ratings'!$K$2:$K$73,MATCH($E38,'Team Ratings'!$A$2:$A$73,0)),"")</f>
        <v>20.6</v>
      </c>
      <c r="X38" s="59">
        <f>IFERROR(INDEX('Team Ratings'!$L$2:$L$73,MATCH($D38,'Team Ratings'!$A$2:$A$73,0)),"")</f>
        <v>38.1</v>
      </c>
      <c r="Y38" s="59">
        <f>IFERROR(INDEX('Team Ratings'!$L$2:$L$73,MATCH($E38,'Team Ratings'!$A$2:$A$73,0)),"")</f>
        <v>33.1</v>
      </c>
      <c r="Z38" s="59">
        <f>IFERROR(INDEX('Team Ratings'!$M$2:$M$73,MATCH($D38,'Team Ratings'!$A$2:$A$73,0)),"")</f>
        <v>26.9</v>
      </c>
      <c r="AA38" s="59">
        <f>IFERROR(INDEX('Team Ratings'!$M$2:$M$73,MATCH($E38,'Team Ratings'!$A$2:$A$73,0)),"")</f>
        <v>32.200000000000003</v>
      </c>
      <c r="AB38" s="59">
        <f>IFERROR(INDEX('Team Ratings'!$O$2:$O$73,MATCH($D38,'Team Ratings'!$A$2:$A$73,0)),"")</f>
        <v>36</v>
      </c>
      <c r="AC38" s="59">
        <f>IFERROR(INDEX('Team Ratings'!$O$2:$O$73,MATCH($E38,'Team Ratings'!$A$2:$A$73,0)),"")</f>
        <v>35.1</v>
      </c>
      <c r="AD38" s="59">
        <f>IFERROR(INDEX('Team Ratings'!$Q$2:$Q$73,MATCH($D38,'Team Ratings'!$A$2:$A$73,0)),"")</f>
        <v>0</v>
      </c>
      <c r="AE38" s="59">
        <f>IFERROR(INDEX('Team Ratings'!$Q$2:$Q$73,MATCH($E38,'Team Ratings'!$A$2:$A$73,0)),"")</f>
        <v>0</v>
      </c>
      <c r="AF38" s="56" t="s">
        <v>395</v>
      </c>
      <c r="AG38" s="56" t="s">
        <v>39</v>
      </c>
      <c r="AH38" s="57" t="s">
        <v>394</v>
      </c>
    </row>
    <row r="39" spans="1:34" ht="20" customHeight="1" x14ac:dyDescent="0.2">
      <c r="A39" s="56" t="s">
        <v>154</v>
      </c>
      <c r="B39" s="56" t="s">
        <v>202</v>
      </c>
      <c r="C39" s="56">
        <v>206</v>
      </c>
      <c r="D39" s="56" t="s">
        <v>54</v>
      </c>
      <c r="E39" s="56" t="s">
        <v>43</v>
      </c>
      <c r="F39" s="56" t="s">
        <v>43</v>
      </c>
      <c r="G39" s="56" t="s">
        <v>436</v>
      </c>
      <c r="H39" s="56" t="s">
        <v>437</v>
      </c>
      <c r="I39" s="57" t="s">
        <v>394</v>
      </c>
      <c r="J39" s="56">
        <f>IFERROR(INDEX('Team Ratings'!$B$2:$B$73,MATCH($D39,'Team Ratings'!$A$2:$A$73,0)),"")</f>
        <v>12</v>
      </c>
      <c r="K39" s="56">
        <f>IFERROR(INDEX('Team Ratings'!$B$2:$B$73,MATCH($E39,'Team Ratings'!$A$2:$A$73,0)),"")</f>
        <v>4</v>
      </c>
      <c r="L39" s="58">
        <f>IFERROR(INDEX('Team Ratings'!$D$2:$D$73,MATCH($D39,'Team Ratings'!$A$2:$A$73,0)),"")</f>
        <v>0.69930000000000003</v>
      </c>
      <c r="M39" s="58">
        <f>IFERROR(INDEX('Team Ratings'!$D$2:$D$73,MATCH($E39,'Team Ratings'!$A$2:$A$73,0)),"")</f>
        <v>0.93369999999999997</v>
      </c>
      <c r="N39" s="59">
        <f>IFERROR(INDEX('Team Ratings'!$E$2:$E$73,MATCH($D39,'Team Ratings'!$A$2:$A$73,0)),"")</f>
        <v>115.7</v>
      </c>
      <c r="O39" s="59">
        <f>IFERROR(INDEX('Team Ratings'!$E$2:$E$73,MATCH($E39,'Team Ratings'!$A$2:$A$73,0)),"")</f>
        <v>127.9</v>
      </c>
      <c r="P39" s="59">
        <f>IFERROR(INDEX('Team Ratings'!$F$2:$F$73,MATCH($D39,'Team Ratings'!$A$2:$A$73,0)),"")</f>
        <v>107.5</v>
      </c>
      <c r="Q39" s="59">
        <f>IFERROR(INDEX('Team Ratings'!$F$2:$F$73,MATCH($E39,'Team Ratings'!$A$2:$A$73,0)),"")</f>
        <v>101.6</v>
      </c>
      <c r="R39" s="59">
        <f>IFERROR(INDEX('Team Ratings'!$G$2:$G$73,MATCH($D39,'Team Ratings'!$A$2:$A$73,0)),"")</f>
        <v>8.1999999999999993</v>
      </c>
      <c r="S39" s="59">
        <f>IFERROR(INDEX('Team Ratings'!$G$2:$G$73,MATCH($E39,'Team Ratings'!$A$2:$A$73,0)),"")</f>
        <v>26.3</v>
      </c>
      <c r="T39" s="59">
        <f>IFERROR(INDEX('Team Ratings'!$H$2:$H$73,MATCH($D39,'Team Ratings'!$A$2:$A$73,0)),"")</f>
        <v>54.7</v>
      </c>
      <c r="U39" s="59">
        <f>IFERROR(INDEX('Team Ratings'!$H$2:$H$73,MATCH($E39,'Team Ratings'!$A$2:$A$73,0)),"")</f>
        <v>56.5</v>
      </c>
      <c r="V39" s="59">
        <f>IFERROR(INDEX('Team Ratings'!$K$2:$K$73,MATCH($D39,'Team Ratings'!$A$2:$A$73,0)),"")</f>
        <v>21.9</v>
      </c>
      <c r="W39" s="59">
        <f>IFERROR(INDEX('Team Ratings'!$K$2:$K$73,MATCH($E39,'Team Ratings'!$A$2:$A$73,0)),"")</f>
        <v>15.7</v>
      </c>
      <c r="X39" s="59">
        <f>IFERROR(INDEX('Team Ratings'!$L$2:$L$73,MATCH($D39,'Team Ratings'!$A$2:$A$73,0)),"")</f>
        <v>32.1</v>
      </c>
      <c r="Y39" s="59">
        <f>IFERROR(INDEX('Team Ratings'!$L$2:$L$73,MATCH($E39,'Team Ratings'!$A$2:$A$73,0)),"")</f>
        <v>32.200000000000003</v>
      </c>
      <c r="Z39" s="59">
        <f>IFERROR(INDEX('Team Ratings'!$M$2:$M$73,MATCH($D39,'Team Ratings'!$A$2:$A$73,0)),"")</f>
        <v>31.7</v>
      </c>
      <c r="AA39" s="59">
        <f>IFERROR(INDEX('Team Ratings'!$M$2:$M$73,MATCH($E39,'Team Ratings'!$A$2:$A$73,0)),"")</f>
        <v>31.2</v>
      </c>
      <c r="AB39" s="59">
        <f>IFERROR(INDEX('Team Ratings'!$O$2:$O$73,MATCH($D39,'Team Ratings'!$A$2:$A$73,0)),"")</f>
        <v>34.4</v>
      </c>
      <c r="AC39" s="59">
        <f>IFERROR(INDEX('Team Ratings'!$O$2:$O$73,MATCH($E39,'Team Ratings'!$A$2:$A$73,0)),"")</f>
        <v>38.9</v>
      </c>
      <c r="AD39" s="59">
        <f>IFERROR(INDEX('Team Ratings'!$Q$2:$Q$73,MATCH($D39,'Team Ratings'!$A$2:$A$73,0)),"")</f>
        <v>0</v>
      </c>
      <c r="AE39" s="59">
        <f>IFERROR(INDEX('Team Ratings'!$Q$2:$Q$73,MATCH($E39,'Team Ratings'!$A$2:$A$73,0)),"")</f>
        <v>0</v>
      </c>
      <c r="AF39" s="56" t="s">
        <v>395</v>
      </c>
      <c r="AG39" s="56" t="s">
        <v>43</v>
      </c>
      <c r="AH39" s="57" t="s">
        <v>394</v>
      </c>
    </row>
    <row r="40" spans="1:34" ht="20" customHeight="1" x14ac:dyDescent="0.2">
      <c r="A40" s="56" t="s">
        <v>146</v>
      </c>
      <c r="B40" s="56" t="s">
        <v>202</v>
      </c>
      <c r="C40" s="56">
        <v>207</v>
      </c>
      <c r="D40" s="56" t="s">
        <v>53</v>
      </c>
      <c r="E40" s="56" t="s">
        <v>42</v>
      </c>
      <c r="F40" s="56" t="s">
        <v>53</v>
      </c>
      <c r="G40" s="56" t="s">
        <v>438</v>
      </c>
      <c r="H40" s="56" t="s">
        <v>439</v>
      </c>
      <c r="I40" s="57" t="s">
        <v>394</v>
      </c>
      <c r="J40" s="56">
        <f>IFERROR(INDEX('Team Ratings'!$B$2:$B$73,MATCH($D40,'Team Ratings'!$A$2:$A$73,0)),"")</f>
        <v>11</v>
      </c>
      <c r="K40" s="56">
        <f>IFERROR(INDEX('Team Ratings'!$B$2:$B$73,MATCH($E40,'Team Ratings'!$A$2:$A$73,0)),"")</f>
        <v>3</v>
      </c>
      <c r="L40" s="58">
        <f>IFERROR(INDEX('Team Ratings'!$D$2:$D$73,MATCH($D40,'Team Ratings'!$A$2:$A$73,0)),"")</f>
        <v>0.85360000000000003</v>
      </c>
      <c r="M40" s="58">
        <f>IFERROR(INDEX('Team Ratings'!$D$2:$D$73,MATCH($E40,'Team Ratings'!$A$2:$A$73,0)),"")</f>
        <v>0.9446</v>
      </c>
      <c r="N40" s="59">
        <f>IFERROR(INDEX('Team Ratings'!$E$2:$E$73,MATCH($D40,'Team Ratings'!$A$2:$A$73,0)),"")</f>
        <v>124</v>
      </c>
      <c r="O40" s="59">
        <f>IFERROR(INDEX('Team Ratings'!$E$2:$E$73,MATCH($E40,'Team Ratings'!$A$2:$A$73,0)),"")</f>
        <v>120.3</v>
      </c>
      <c r="P40" s="59">
        <f>IFERROR(INDEX('Team Ratings'!$F$2:$F$73,MATCH($D40,'Team Ratings'!$A$2:$A$73,0)),"")</f>
        <v>106.4</v>
      </c>
      <c r="Q40" s="59">
        <f>IFERROR(INDEX('Team Ratings'!$F$2:$F$73,MATCH($E40,'Team Ratings'!$A$2:$A$73,0)),"")</f>
        <v>94</v>
      </c>
      <c r="R40" s="59">
        <f>IFERROR(INDEX('Team Ratings'!$G$2:$G$73,MATCH($D40,'Team Ratings'!$A$2:$A$73,0)),"")</f>
        <v>17.600000000000001</v>
      </c>
      <c r="S40" s="59">
        <f>IFERROR(INDEX('Team Ratings'!$G$2:$G$73,MATCH($E40,'Team Ratings'!$A$2:$A$73,0)),"")</f>
        <v>26.3</v>
      </c>
      <c r="T40" s="59">
        <f>IFERROR(INDEX('Team Ratings'!$H$2:$H$73,MATCH($D40,'Team Ratings'!$A$2:$A$73,0)),"")</f>
        <v>54.2</v>
      </c>
      <c r="U40" s="59">
        <f>IFERROR(INDEX('Team Ratings'!$H$2:$H$73,MATCH($E40,'Team Ratings'!$A$2:$A$73,0)),"")</f>
        <v>56.3</v>
      </c>
      <c r="V40" s="59">
        <f>IFERROR(INDEX('Team Ratings'!$K$2:$K$73,MATCH($D40,'Team Ratings'!$A$2:$A$73,0)),"")</f>
        <v>13.4</v>
      </c>
      <c r="W40" s="59">
        <f>IFERROR(INDEX('Team Ratings'!$K$2:$K$73,MATCH($E40,'Team Ratings'!$A$2:$A$73,0)),"")</f>
        <v>20.5</v>
      </c>
      <c r="X40" s="59">
        <f>IFERROR(INDEX('Team Ratings'!$L$2:$L$73,MATCH($D40,'Team Ratings'!$A$2:$A$73,0)),"")</f>
        <v>35.700000000000003</v>
      </c>
      <c r="Y40" s="59">
        <f>IFERROR(INDEX('Team Ratings'!$L$2:$L$73,MATCH($E40,'Team Ratings'!$A$2:$A$73,0)),"")</f>
        <v>34.799999999999997</v>
      </c>
      <c r="Z40" s="59">
        <f>IFERROR(INDEX('Team Ratings'!$M$2:$M$73,MATCH($D40,'Team Ratings'!$A$2:$A$73,0)),"")</f>
        <v>26.9</v>
      </c>
      <c r="AA40" s="59">
        <f>IFERROR(INDEX('Team Ratings'!$M$2:$M$73,MATCH($E40,'Team Ratings'!$A$2:$A$73,0)),"")</f>
        <v>25.9</v>
      </c>
      <c r="AB40" s="59">
        <f>IFERROR(INDEX('Team Ratings'!$O$2:$O$73,MATCH($D40,'Team Ratings'!$A$2:$A$73,0)),"")</f>
        <v>34.9</v>
      </c>
      <c r="AC40" s="59">
        <f>IFERROR(INDEX('Team Ratings'!$O$2:$O$73,MATCH($E40,'Team Ratings'!$A$2:$A$73,0)),"")</f>
        <v>34</v>
      </c>
      <c r="AD40" s="59">
        <f>IFERROR(INDEX('Team Ratings'!$Q$2:$Q$73,MATCH($D40,'Team Ratings'!$A$2:$A$73,0)),"")</f>
        <v>0</v>
      </c>
      <c r="AE40" s="59">
        <f>IFERROR(INDEX('Team Ratings'!$Q$2:$Q$73,MATCH($E40,'Team Ratings'!$A$2:$A$73,0)),"")</f>
        <v>0</v>
      </c>
      <c r="AF40" s="56" t="s">
        <v>395</v>
      </c>
      <c r="AG40" s="56" t="s">
        <v>45</v>
      </c>
      <c r="AH40" s="60" t="s">
        <v>397</v>
      </c>
    </row>
    <row r="41" spans="1:34" ht="20" customHeight="1" x14ac:dyDescent="0.2">
      <c r="A41" s="56" t="s">
        <v>138</v>
      </c>
      <c r="B41" s="56" t="s">
        <v>202</v>
      </c>
      <c r="C41" s="56">
        <v>208</v>
      </c>
      <c r="D41" s="56" t="s">
        <v>46</v>
      </c>
      <c r="E41" s="56" t="s">
        <v>41</v>
      </c>
      <c r="F41" s="56" t="s">
        <v>41</v>
      </c>
      <c r="G41" s="56" t="s">
        <v>440</v>
      </c>
      <c r="H41" s="56" t="s">
        <v>268</v>
      </c>
      <c r="I41" s="57" t="s">
        <v>394</v>
      </c>
      <c r="J41" s="56">
        <f>IFERROR(INDEX('Team Ratings'!$B$2:$B$73,MATCH($D41,'Team Ratings'!$A$2:$A$73,0)),"")</f>
        <v>7</v>
      </c>
      <c r="K41" s="56">
        <f>IFERROR(INDEX('Team Ratings'!$B$2:$B$73,MATCH($E41,'Team Ratings'!$A$2:$A$73,0)),"")</f>
        <v>2</v>
      </c>
      <c r="L41" s="58">
        <f>IFERROR(INDEX('Team Ratings'!$D$2:$D$73,MATCH($D41,'Team Ratings'!$A$2:$A$73,0)),"")</f>
        <v>0.88439999999999996</v>
      </c>
      <c r="M41" s="58">
        <f>IFERROR(INDEX('Team Ratings'!$D$2:$D$73,MATCH($E41,'Team Ratings'!$A$2:$A$73,0)),"")</f>
        <v>0.96360000000000001</v>
      </c>
      <c r="N41" s="59">
        <f>IFERROR(INDEX('Team Ratings'!$E$2:$E$73,MATCH($D41,'Team Ratings'!$A$2:$A$73,0)),"")</f>
        <v>121.1</v>
      </c>
      <c r="O41" s="59">
        <f>IFERROR(INDEX('Team Ratings'!$E$2:$E$73,MATCH($E41,'Team Ratings'!$A$2:$A$73,0)),"")</f>
        <v>133.30000000000001</v>
      </c>
      <c r="P41" s="59">
        <f>IFERROR(INDEX('Team Ratings'!$F$2:$F$73,MATCH($D41,'Team Ratings'!$A$2:$A$73,0)),"")</f>
        <v>101.5</v>
      </c>
      <c r="Q41" s="59">
        <f>IFERROR(INDEX('Team Ratings'!$F$2:$F$73,MATCH($E41,'Team Ratings'!$A$2:$A$73,0)),"")</f>
        <v>100.3</v>
      </c>
      <c r="R41" s="59">
        <f>IFERROR(INDEX('Team Ratings'!$G$2:$G$73,MATCH($D41,'Team Ratings'!$A$2:$A$73,0)),"")</f>
        <v>19.600000000000001</v>
      </c>
      <c r="S41" s="59">
        <f>IFERROR(INDEX('Team Ratings'!$G$2:$G$73,MATCH($E41,'Team Ratings'!$A$2:$A$73,0)),"")</f>
        <v>33</v>
      </c>
      <c r="T41" s="59">
        <f>IFERROR(INDEX('Team Ratings'!$H$2:$H$73,MATCH($D41,'Team Ratings'!$A$2:$A$73,0)),"")</f>
        <v>55.6</v>
      </c>
      <c r="U41" s="59">
        <f>IFERROR(INDEX('Team Ratings'!$H$2:$H$73,MATCH($E41,'Team Ratings'!$A$2:$A$73,0)),"")</f>
        <v>57.6</v>
      </c>
      <c r="V41" s="59">
        <f>IFERROR(INDEX('Team Ratings'!$K$2:$K$73,MATCH($D41,'Team Ratings'!$A$2:$A$73,0)),"")</f>
        <v>18.399999999999999</v>
      </c>
      <c r="W41" s="59">
        <f>IFERROR(INDEX('Team Ratings'!$K$2:$K$73,MATCH($E41,'Team Ratings'!$A$2:$A$73,0)),"")</f>
        <v>15.6</v>
      </c>
      <c r="X41" s="59">
        <f>IFERROR(INDEX('Team Ratings'!$L$2:$L$73,MATCH($D41,'Team Ratings'!$A$2:$A$73,0)),"")</f>
        <v>37</v>
      </c>
      <c r="Y41" s="59">
        <f>IFERROR(INDEX('Team Ratings'!$L$2:$L$73,MATCH($E41,'Team Ratings'!$A$2:$A$73,0)),"")</f>
        <v>36.299999999999997</v>
      </c>
      <c r="Z41" s="59">
        <f>IFERROR(INDEX('Team Ratings'!$M$2:$M$73,MATCH($D41,'Team Ratings'!$A$2:$A$73,0)),"")</f>
        <v>26.3</v>
      </c>
      <c r="AA41" s="59">
        <f>IFERROR(INDEX('Team Ratings'!$M$2:$M$73,MATCH($E41,'Team Ratings'!$A$2:$A$73,0)),"")</f>
        <v>26.4</v>
      </c>
      <c r="AB41" s="59">
        <f>IFERROR(INDEX('Team Ratings'!$O$2:$O$73,MATCH($D41,'Team Ratings'!$A$2:$A$73,0)),"")</f>
        <v>34.700000000000003</v>
      </c>
      <c r="AC41" s="59">
        <f>IFERROR(INDEX('Team Ratings'!$O$2:$O$73,MATCH($E41,'Team Ratings'!$A$2:$A$73,0)),"")</f>
        <v>37.9</v>
      </c>
      <c r="AD41" s="59">
        <f>IFERROR(INDEX('Team Ratings'!$Q$2:$Q$73,MATCH($D41,'Team Ratings'!$A$2:$A$73,0)),"")</f>
        <v>0</v>
      </c>
      <c r="AE41" s="59">
        <f>IFERROR(INDEX('Team Ratings'!$Q$2:$Q$73,MATCH($E41,'Team Ratings'!$A$2:$A$73,0)),"")</f>
        <v>0</v>
      </c>
      <c r="AF41" s="56" t="s">
        <v>395</v>
      </c>
      <c r="AG41" s="56" t="s">
        <v>41</v>
      </c>
      <c r="AH41" s="57" t="s">
        <v>394</v>
      </c>
    </row>
    <row r="42" spans="1:34" ht="20" customHeight="1" x14ac:dyDescent="0.2">
      <c r="A42" s="56" t="s">
        <v>127</v>
      </c>
      <c r="B42" s="56" t="s">
        <v>202</v>
      </c>
      <c r="C42" s="56">
        <v>209</v>
      </c>
      <c r="D42" s="56" t="s">
        <v>59</v>
      </c>
      <c r="E42" s="56" t="s">
        <v>68</v>
      </c>
      <c r="F42" s="56" t="s">
        <v>68</v>
      </c>
      <c r="G42" s="56" t="s">
        <v>441</v>
      </c>
      <c r="H42" s="56" t="s">
        <v>269</v>
      </c>
      <c r="I42" s="57" t="s">
        <v>394</v>
      </c>
      <c r="J42" s="56">
        <f>IFERROR(INDEX('Team Ratings'!$B$2:$B$73,MATCH($D42,'Team Ratings'!$A$2:$A$73,0)),"")</f>
        <v>1</v>
      </c>
      <c r="K42" s="56">
        <f>IFERROR(INDEX('Team Ratings'!$B$2:$B$73,MATCH($E42,'Team Ratings'!$A$2:$A$73,0)),"")</f>
        <v>9</v>
      </c>
      <c r="L42" s="58">
        <f>IFERROR(INDEX('Team Ratings'!$D$2:$D$73,MATCH($D42,'Team Ratings'!$A$2:$A$73,0)),"")</f>
        <v>0.97319999999999995</v>
      </c>
      <c r="M42" s="58">
        <f>IFERROR(INDEX('Team Ratings'!$D$2:$D$73,MATCH($E42,'Team Ratings'!$A$2:$A$73,0)),"")</f>
        <v>0.90680000000000005</v>
      </c>
      <c r="N42" s="59">
        <f>IFERROR(INDEX('Team Ratings'!$E$2:$E$73,MATCH($D42,'Team Ratings'!$A$2:$A$73,0)),"")</f>
        <v>126.1</v>
      </c>
      <c r="O42" s="59">
        <f>IFERROR(INDEX('Team Ratings'!$E$2:$E$73,MATCH($E42,'Team Ratings'!$A$2:$A$73,0)),"")</f>
        <v>122.1</v>
      </c>
      <c r="P42" s="59">
        <f>IFERROR(INDEX('Team Ratings'!$F$2:$F$73,MATCH($D42,'Team Ratings'!$A$2:$A$73,0)),"")</f>
        <v>92.3</v>
      </c>
      <c r="Q42" s="59">
        <f>IFERROR(INDEX('Team Ratings'!$F$2:$F$73,MATCH($E42,'Team Ratings'!$A$2:$A$73,0)),"")</f>
        <v>100.2</v>
      </c>
      <c r="R42" s="59">
        <f>IFERROR(INDEX('Team Ratings'!$G$2:$G$73,MATCH($D42,'Team Ratings'!$A$2:$A$73,0)),"")</f>
        <v>33.799999999999997</v>
      </c>
      <c r="S42" s="59">
        <f>IFERROR(INDEX('Team Ratings'!$G$2:$G$73,MATCH($E42,'Team Ratings'!$A$2:$A$73,0)),"")</f>
        <v>21.9</v>
      </c>
      <c r="T42" s="59">
        <f>IFERROR(INDEX('Team Ratings'!$H$2:$H$73,MATCH($D42,'Team Ratings'!$A$2:$A$73,0)),"")</f>
        <v>53.5</v>
      </c>
      <c r="U42" s="59">
        <f>IFERROR(INDEX('Team Ratings'!$H$2:$H$73,MATCH($E42,'Team Ratings'!$A$2:$A$73,0)),"")</f>
        <v>56.6</v>
      </c>
      <c r="V42" s="59">
        <f>IFERROR(INDEX('Team Ratings'!$K$2:$K$73,MATCH($D42,'Team Ratings'!$A$2:$A$73,0)),"")</f>
        <v>15.4</v>
      </c>
      <c r="W42" s="59">
        <f>IFERROR(INDEX('Team Ratings'!$K$2:$K$73,MATCH($E42,'Team Ratings'!$A$2:$A$73,0)),"")</f>
        <v>21</v>
      </c>
      <c r="X42" s="59">
        <f>IFERROR(INDEX('Team Ratings'!$L$2:$L$73,MATCH($D42,'Team Ratings'!$A$2:$A$73,0)),"")</f>
        <v>43.2</v>
      </c>
      <c r="Y42" s="59">
        <f>IFERROR(INDEX('Team Ratings'!$L$2:$L$73,MATCH($E42,'Team Ratings'!$A$2:$A$73,0)),"")</f>
        <v>30.1</v>
      </c>
      <c r="Z42" s="59">
        <f>IFERROR(INDEX('Team Ratings'!$M$2:$M$73,MATCH($D42,'Team Ratings'!$A$2:$A$73,0)),"")</f>
        <v>24.8</v>
      </c>
      <c r="AA42" s="59">
        <f>IFERROR(INDEX('Team Ratings'!$M$2:$M$73,MATCH($E42,'Team Ratings'!$A$2:$A$73,0)),"")</f>
        <v>28</v>
      </c>
      <c r="AB42" s="59">
        <f>IFERROR(INDEX('Team Ratings'!$O$2:$O$73,MATCH($D42,'Team Ratings'!$A$2:$A$73,0)),"")</f>
        <v>30.8</v>
      </c>
      <c r="AC42" s="59">
        <f>IFERROR(INDEX('Team Ratings'!$O$2:$O$73,MATCH($E42,'Team Ratings'!$A$2:$A$73,0)),"")</f>
        <v>35.700000000000003</v>
      </c>
      <c r="AD42" s="59">
        <f>IFERROR(INDEX('Team Ratings'!$Q$2:$Q$73,MATCH($D42,'Team Ratings'!$A$2:$A$73,0)),"")</f>
        <v>0</v>
      </c>
      <c r="AE42" s="59">
        <f>IFERROR(INDEX('Team Ratings'!$Q$2:$Q$73,MATCH($E42,'Team Ratings'!$A$2:$A$73,0)),"")</f>
        <v>0</v>
      </c>
      <c r="AF42" s="56" t="s">
        <v>395</v>
      </c>
      <c r="AG42" s="56" t="s">
        <v>59</v>
      </c>
      <c r="AH42" s="60" t="s">
        <v>397</v>
      </c>
    </row>
    <row r="43" spans="1:34" ht="20" customHeight="1" x14ac:dyDescent="0.2">
      <c r="A43" s="56" t="s">
        <v>152</v>
      </c>
      <c r="B43" s="56" t="s">
        <v>202</v>
      </c>
      <c r="C43" s="56">
        <v>210</v>
      </c>
      <c r="D43" s="56" t="s">
        <v>64</v>
      </c>
      <c r="E43" s="56" t="s">
        <v>63</v>
      </c>
      <c r="F43" s="56" t="s">
        <v>63</v>
      </c>
      <c r="G43" s="56" t="s">
        <v>442</v>
      </c>
      <c r="H43" s="56" t="s">
        <v>443</v>
      </c>
      <c r="I43" s="57" t="s">
        <v>394</v>
      </c>
      <c r="J43" s="56">
        <f>IFERROR(INDEX('Team Ratings'!$B$2:$B$73,MATCH($D43,'Team Ratings'!$A$2:$A$73,0)),"")</f>
        <v>5</v>
      </c>
      <c r="K43" s="56">
        <f>IFERROR(INDEX('Team Ratings'!$B$2:$B$73,MATCH($E43,'Team Ratings'!$A$2:$A$73,0)),"")</f>
        <v>4</v>
      </c>
      <c r="L43" s="58">
        <f>IFERROR(INDEX('Team Ratings'!$D$2:$D$73,MATCH($D43,'Team Ratings'!$A$2:$A$73,0)),"")</f>
        <v>0.94610000000000005</v>
      </c>
      <c r="M43" s="58">
        <f>IFERROR(INDEX('Team Ratings'!$D$2:$D$73,MATCH($E43,'Team Ratings'!$A$2:$A$73,0)),"")</f>
        <v>0.93079999999999996</v>
      </c>
      <c r="N43" s="59">
        <f>IFERROR(INDEX('Team Ratings'!$E$2:$E$73,MATCH($D43,'Team Ratings'!$A$2:$A$73,0)),"")</f>
        <v>127.5</v>
      </c>
      <c r="O43" s="59">
        <f>IFERROR(INDEX('Team Ratings'!$E$2:$E$73,MATCH($E43,'Team Ratings'!$A$2:$A$73,0)),"")</f>
        <v>117.2</v>
      </c>
      <c r="P43" s="59">
        <f>IFERROR(INDEX('Team Ratings'!$F$2:$F$73,MATCH($D43,'Team Ratings'!$A$2:$A$73,0)),"")</f>
        <v>99.4</v>
      </c>
      <c r="Q43" s="59">
        <f>IFERROR(INDEX('Team Ratings'!$F$2:$F$73,MATCH($E43,'Team Ratings'!$A$2:$A$73,0)),"")</f>
        <v>93.5</v>
      </c>
      <c r="R43" s="59">
        <f>IFERROR(INDEX('Team Ratings'!$G$2:$G$73,MATCH($D43,'Team Ratings'!$A$2:$A$73,0)),"")</f>
        <v>28.1</v>
      </c>
      <c r="S43" s="59">
        <f>IFERROR(INDEX('Team Ratings'!$G$2:$G$73,MATCH($E43,'Team Ratings'!$A$2:$A$73,0)),"")</f>
        <v>23.7</v>
      </c>
      <c r="T43" s="59">
        <f>IFERROR(INDEX('Team Ratings'!$H$2:$H$73,MATCH($D43,'Team Ratings'!$A$2:$A$73,0)),"")</f>
        <v>55.3</v>
      </c>
      <c r="U43" s="59">
        <f>IFERROR(INDEX('Team Ratings'!$H$2:$H$73,MATCH($E43,'Team Ratings'!$A$2:$A$73,0)),"")</f>
        <v>55.4</v>
      </c>
      <c r="V43" s="59">
        <f>IFERROR(INDEX('Team Ratings'!$K$2:$K$73,MATCH($D43,'Team Ratings'!$A$2:$A$73,0)),"")</f>
        <v>17.899999999999999</v>
      </c>
      <c r="W43" s="59">
        <f>IFERROR(INDEX('Team Ratings'!$K$2:$K$73,MATCH($E43,'Team Ratings'!$A$2:$A$73,0)),"")</f>
        <v>19.2</v>
      </c>
      <c r="X43" s="59">
        <f>IFERROR(INDEX('Team Ratings'!$L$2:$L$73,MATCH($D43,'Team Ratings'!$A$2:$A$73,0)),"")</f>
        <v>31.2</v>
      </c>
      <c r="Y43" s="59">
        <f>IFERROR(INDEX('Team Ratings'!$L$2:$L$73,MATCH($E43,'Team Ratings'!$A$2:$A$73,0)),"")</f>
        <v>26.3</v>
      </c>
      <c r="Z43" s="59">
        <f>IFERROR(INDEX('Team Ratings'!$M$2:$M$73,MATCH($D43,'Team Ratings'!$A$2:$A$73,0)),"")</f>
        <v>31.6</v>
      </c>
      <c r="AA43" s="59">
        <f>IFERROR(INDEX('Team Ratings'!$M$2:$M$73,MATCH($E43,'Team Ratings'!$A$2:$A$73,0)),"")</f>
        <v>27.7</v>
      </c>
      <c r="AB43" s="59">
        <f>IFERROR(INDEX('Team Ratings'!$O$2:$O$73,MATCH($D43,'Team Ratings'!$A$2:$A$73,0)),"")</f>
        <v>35.5</v>
      </c>
      <c r="AC43" s="59">
        <f>IFERROR(INDEX('Team Ratings'!$O$2:$O$73,MATCH($E43,'Team Ratings'!$A$2:$A$73,0)),"")</f>
        <v>35.299999999999997</v>
      </c>
      <c r="AD43" s="59">
        <f>IFERROR(INDEX('Team Ratings'!$Q$2:$Q$73,MATCH($D43,'Team Ratings'!$A$2:$A$73,0)),"")</f>
        <v>0</v>
      </c>
      <c r="AE43" s="59">
        <f>IFERROR(INDEX('Team Ratings'!$Q$2:$Q$73,MATCH($E43,'Team Ratings'!$A$2:$A$73,0)),"")</f>
        <v>0</v>
      </c>
      <c r="AF43" s="56" t="s">
        <v>395</v>
      </c>
      <c r="AG43" s="56" t="s">
        <v>64</v>
      </c>
      <c r="AH43" s="60" t="s">
        <v>397</v>
      </c>
    </row>
    <row r="44" spans="1:34" ht="20" customHeight="1" x14ac:dyDescent="0.2">
      <c r="A44" s="56" t="s">
        <v>144</v>
      </c>
      <c r="B44" s="56" t="s">
        <v>202</v>
      </c>
      <c r="C44" s="56">
        <v>211</v>
      </c>
      <c r="D44" s="56" t="s">
        <v>70</v>
      </c>
      <c r="E44" s="56" t="s">
        <v>62</v>
      </c>
      <c r="F44" s="56" t="s">
        <v>62</v>
      </c>
      <c r="G44" s="56" t="s">
        <v>444</v>
      </c>
      <c r="H44" s="56" t="s">
        <v>271</v>
      </c>
      <c r="I44" s="57" t="s">
        <v>394</v>
      </c>
      <c r="J44" s="56">
        <f>IFERROR(INDEX('Team Ratings'!$B$2:$B$73,MATCH($D44,'Team Ratings'!$A$2:$A$73,0)),"")</f>
        <v>11</v>
      </c>
      <c r="K44" s="56">
        <f>IFERROR(INDEX('Team Ratings'!$B$2:$B$73,MATCH($E44,'Team Ratings'!$A$2:$A$73,0)),"")</f>
        <v>3</v>
      </c>
      <c r="L44" s="58">
        <f>IFERROR(INDEX('Team Ratings'!$D$2:$D$73,MATCH($D44,'Team Ratings'!$A$2:$A$73,0)),"")</f>
        <v>0.84330000000000005</v>
      </c>
      <c r="M44" s="58">
        <f>IFERROR(INDEX('Team Ratings'!$D$2:$D$73,MATCH($E44,'Team Ratings'!$A$2:$A$73,0)),"")</f>
        <v>0.96760000000000002</v>
      </c>
      <c r="N44" s="59">
        <f>IFERROR(INDEX('Team Ratings'!$E$2:$E$73,MATCH($D44,'Team Ratings'!$A$2:$A$73,0)),"")</f>
        <v>119.3</v>
      </c>
      <c r="O44" s="59">
        <f>IFERROR(INDEX('Team Ratings'!$E$2:$E$73,MATCH($E44,'Team Ratings'!$A$2:$A$73,0)),"")</f>
        <v>131.9</v>
      </c>
      <c r="P44" s="59">
        <f>IFERROR(INDEX('Team Ratings'!$F$2:$F$73,MATCH($D44,'Team Ratings'!$A$2:$A$73,0)),"")</f>
        <v>103</v>
      </c>
      <c r="Q44" s="59">
        <f>IFERROR(INDEX('Team Ratings'!$F$2:$F$73,MATCH($E44,'Team Ratings'!$A$2:$A$73,0)),"")</f>
        <v>98.2</v>
      </c>
      <c r="R44" s="59">
        <f>IFERROR(INDEX('Team Ratings'!$G$2:$G$73,MATCH($D44,'Team Ratings'!$A$2:$A$73,0)),"")</f>
        <v>16.3</v>
      </c>
      <c r="S44" s="59">
        <f>IFERROR(INDEX('Team Ratings'!$G$2:$G$73,MATCH($E44,'Team Ratings'!$A$2:$A$73,0)),"")</f>
        <v>33.700000000000003</v>
      </c>
      <c r="T44" s="59">
        <f>IFERROR(INDEX('Team Ratings'!$H$2:$H$73,MATCH($D44,'Team Ratings'!$A$2:$A$73,0)),"")</f>
        <v>54.1</v>
      </c>
      <c r="U44" s="59">
        <f>IFERROR(INDEX('Team Ratings'!$H$2:$H$73,MATCH($E44,'Team Ratings'!$A$2:$A$73,0)),"")</f>
        <v>55.1</v>
      </c>
      <c r="V44" s="59">
        <f>IFERROR(INDEX('Team Ratings'!$K$2:$K$73,MATCH($D44,'Team Ratings'!$A$2:$A$73,0)),"")</f>
        <v>17.2</v>
      </c>
      <c r="W44" s="59">
        <f>IFERROR(INDEX('Team Ratings'!$K$2:$K$73,MATCH($E44,'Team Ratings'!$A$2:$A$73,0)),"")</f>
        <v>11.6</v>
      </c>
      <c r="X44" s="59">
        <f>IFERROR(INDEX('Team Ratings'!$L$2:$L$73,MATCH($D44,'Team Ratings'!$A$2:$A$73,0)),"")</f>
        <v>32.299999999999997</v>
      </c>
      <c r="Y44" s="59">
        <f>IFERROR(INDEX('Team Ratings'!$L$2:$L$73,MATCH($E44,'Team Ratings'!$A$2:$A$73,0)),"")</f>
        <v>38.700000000000003</v>
      </c>
      <c r="Z44" s="59">
        <f>IFERROR(INDEX('Team Ratings'!$M$2:$M$73,MATCH($D44,'Team Ratings'!$A$2:$A$73,0)),"")</f>
        <v>29.9</v>
      </c>
      <c r="AA44" s="59">
        <f>IFERROR(INDEX('Team Ratings'!$M$2:$M$73,MATCH($E44,'Team Ratings'!$A$2:$A$73,0)),"")</f>
        <v>27</v>
      </c>
      <c r="AB44" s="59">
        <f>IFERROR(INDEX('Team Ratings'!$O$2:$O$73,MATCH($D44,'Team Ratings'!$A$2:$A$73,0)),"")</f>
        <v>36.700000000000003</v>
      </c>
      <c r="AC44" s="59">
        <f>IFERROR(INDEX('Team Ratings'!$O$2:$O$73,MATCH($E44,'Team Ratings'!$A$2:$A$73,0)),"")</f>
        <v>34.700000000000003</v>
      </c>
      <c r="AD44" s="59">
        <f>IFERROR(INDEX('Team Ratings'!$Q$2:$Q$73,MATCH($D44,'Team Ratings'!$A$2:$A$73,0)),"")</f>
        <v>0</v>
      </c>
      <c r="AE44" s="59">
        <f>IFERROR(INDEX('Team Ratings'!$Q$2:$Q$73,MATCH($E44,'Team Ratings'!$A$2:$A$73,0)),"")</f>
        <v>0</v>
      </c>
      <c r="AF44" s="56" t="s">
        <v>395</v>
      </c>
      <c r="AG44" s="56" t="s">
        <v>70</v>
      </c>
      <c r="AH44" s="60" t="s">
        <v>397</v>
      </c>
    </row>
    <row r="45" spans="1:34" ht="20" customHeight="1" x14ac:dyDescent="0.2">
      <c r="A45" s="56" t="s">
        <v>136</v>
      </c>
      <c r="B45" s="56" t="s">
        <v>202</v>
      </c>
      <c r="C45" s="56">
        <v>212</v>
      </c>
      <c r="D45" s="56" t="s">
        <v>69</v>
      </c>
      <c r="E45" s="56" t="s">
        <v>61</v>
      </c>
      <c r="F45" s="56" t="s">
        <v>61</v>
      </c>
      <c r="G45" s="56" t="s">
        <v>445</v>
      </c>
      <c r="H45" s="56" t="s">
        <v>446</v>
      </c>
      <c r="I45" s="57" t="s">
        <v>394</v>
      </c>
      <c r="J45" s="56">
        <f>IFERROR(INDEX('Team Ratings'!$B$2:$B$73,MATCH($D45,'Team Ratings'!$A$2:$A$73,0)),"")</f>
        <v>10</v>
      </c>
      <c r="K45" s="56">
        <f>IFERROR(INDEX('Team Ratings'!$B$2:$B$73,MATCH($E45,'Team Ratings'!$A$2:$A$73,0)),"")</f>
        <v>2</v>
      </c>
      <c r="L45" s="58">
        <f>IFERROR(INDEX('Team Ratings'!$D$2:$D$73,MATCH($D45,'Team Ratings'!$A$2:$A$73,0)),"")</f>
        <v>0.87209999999999999</v>
      </c>
      <c r="M45" s="58">
        <f>IFERROR(INDEX('Team Ratings'!$D$2:$D$73,MATCH($E45,'Team Ratings'!$A$2:$A$73,0)),"")</f>
        <v>0.97089999999999999</v>
      </c>
      <c r="N45" s="59">
        <f>IFERROR(INDEX('Team Ratings'!$E$2:$E$73,MATCH($D45,'Team Ratings'!$A$2:$A$73,0)),"")</f>
        <v>119.9</v>
      </c>
      <c r="O45" s="59">
        <f>IFERROR(INDEX('Team Ratings'!$E$2:$E$73,MATCH($E45,'Team Ratings'!$A$2:$A$73,0)),"")</f>
        <v>125.3</v>
      </c>
      <c r="P45" s="59">
        <f>IFERROR(INDEX('Team Ratings'!$F$2:$F$73,MATCH($D45,'Team Ratings'!$A$2:$A$73,0)),"")</f>
        <v>101.4</v>
      </c>
      <c r="Q45" s="59">
        <f>IFERROR(INDEX('Team Ratings'!$F$2:$F$73,MATCH($E45,'Team Ratings'!$A$2:$A$73,0)),"")</f>
        <v>92.4</v>
      </c>
      <c r="R45" s="59">
        <f>IFERROR(INDEX('Team Ratings'!$G$2:$G$73,MATCH($D45,'Team Ratings'!$A$2:$A$73,0)),"")</f>
        <v>18.5</v>
      </c>
      <c r="S45" s="59">
        <f>IFERROR(INDEX('Team Ratings'!$G$2:$G$73,MATCH($E45,'Team Ratings'!$A$2:$A$73,0)),"")</f>
        <v>32.9</v>
      </c>
      <c r="T45" s="59">
        <f>IFERROR(INDEX('Team Ratings'!$H$2:$H$73,MATCH($D45,'Team Ratings'!$A$2:$A$73,0)),"")</f>
        <v>54.2</v>
      </c>
      <c r="U45" s="59">
        <f>IFERROR(INDEX('Team Ratings'!$H$2:$H$73,MATCH($E45,'Team Ratings'!$A$2:$A$73,0)),"")</f>
        <v>52.1</v>
      </c>
      <c r="V45" s="59">
        <f>IFERROR(INDEX('Team Ratings'!$K$2:$K$73,MATCH($D45,'Team Ratings'!$A$2:$A$73,0)),"")</f>
        <v>18.3</v>
      </c>
      <c r="W45" s="59">
        <f>IFERROR(INDEX('Team Ratings'!$K$2:$K$73,MATCH($E45,'Team Ratings'!$A$2:$A$73,0)),"")</f>
        <v>21</v>
      </c>
      <c r="X45" s="59">
        <f>IFERROR(INDEX('Team Ratings'!$L$2:$L$73,MATCH($D45,'Team Ratings'!$A$2:$A$73,0)),"")</f>
        <v>32.299999999999997</v>
      </c>
      <c r="Y45" s="59">
        <f>IFERROR(INDEX('Team Ratings'!$L$2:$L$73,MATCH($E45,'Team Ratings'!$A$2:$A$73,0)),"")</f>
        <v>35.9</v>
      </c>
      <c r="Z45" s="59">
        <f>IFERROR(INDEX('Team Ratings'!$M$2:$M$73,MATCH($D45,'Team Ratings'!$A$2:$A$73,0)),"")</f>
        <v>32.5</v>
      </c>
      <c r="AA45" s="59">
        <f>IFERROR(INDEX('Team Ratings'!$M$2:$M$73,MATCH($E45,'Team Ratings'!$A$2:$A$73,0)),"")</f>
        <v>30.9</v>
      </c>
      <c r="AB45" s="59">
        <f>IFERROR(INDEX('Team Ratings'!$O$2:$O$73,MATCH($D45,'Team Ratings'!$A$2:$A$73,0)),"")</f>
        <v>36.200000000000003</v>
      </c>
      <c r="AC45" s="59">
        <f>IFERROR(INDEX('Team Ratings'!$O$2:$O$73,MATCH($E45,'Team Ratings'!$A$2:$A$73,0)),"")</f>
        <v>34.9</v>
      </c>
      <c r="AD45" s="59">
        <f>IFERROR(INDEX('Team Ratings'!$Q$2:$Q$73,MATCH($D45,'Team Ratings'!$A$2:$A$73,0)),"")</f>
        <v>0</v>
      </c>
      <c r="AE45" s="59">
        <f>IFERROR(INDEX('Team Ratings'!$Q$2:$Q$73,MATCH($E45,'Team Ratings'!$A$2:$A$73,0)),"")</f>
        <v>-1</v>
      </c>
      <c r="AF45" s="56" t="s">
        <v>395</v>
      </c>
      <c r="AG45" s="56" t="s">
        <v>61</v>
      </c>
      <c r="AH45" s="57" t="s">
        <v>394</v>
      </c>
    </row>
    <row r="46" spans="1:34" ht="20" customHeight="1" x14ac:dyDescent="0.2">
      <c r="A46" s="56" t="s">
        <v>125</v>
      </c>
      <c r="B46" s="56" t="s">
        <v>202</v>
      </c>
      <c r="C46" s="56">
        <v>213</v>
      </c>
      <c r="D46" s="56" t="s">
        <v>78</v>
      </c>
      <c r="E46" s="56" t="s">
        <v>87</v>
      </c>
      <c r="F46" s="56" t="s">
        <v>78</v>
      </c>
      <c r="G46" s="56" t="s">
        <v>447</v>
      </c>
      <c r="H46" s="56" t="s">
        <v>448</v>
      </c>
      <c r="I46" s="57" t="s">
        <v>394</v>
      </c>
      <c r="J46" s="56">
        <f>IFERROR(INDEX('Team Ratings'!$B$2:$B$73,MATCH($D46,'Team Ratings'!$A$2:$A$73,0)),"")</f>
        <v>1</v>
      </c>
      <c r="K46" s="56">
        <f>IFERROR(INDEX('Team Ratings'!$B$2:$B$73,MATCH($E46,'Team Ratings'!$A$2:$A$73,0)),"")</f>
        <v>9</v>
      </c>
      <c r="L46" s="58">
        <f>IFERROR(INDEX('Team Ratings'!$D$2:$D$73,MATCH($D46,'Team Ratings'!$A$2:$A$73,0)),"")</f>
        <v>0.97989999999999999</v>
      </c>
      <c r="M46" s="58">
        <f>IFERROR(INDEX('Team Ratings'!$D$2:$D$73,MATCH($E46,'Team Ratings'!$A$2:$A$73,0)),"")</f>
        <v>0.85729999999999995</v>
      </c>
      <c r="N46" s="59">
        <f>IFERROR(INDEX('Team Ratings'!$E$2:$E$73,MATCH($D46,'Team Ratings'!$A$2:$A$73,0)),"")</f>
        <v>127.7</v>
      </c>
      <c r="O46" s="59">
        <f>IFERROR(INDEX('Team Ratings'!$E$2:$E$73,MATCH($E46,'Team Ratings'!$A$2:$A$73,0)),"")</f>
        <v>119.5</v>
      </c>
      <c r="P46" s="59">
        <f>IFERROR(INDEX('Team Ratings'!$F$2:$F$73,MATCH($D46,'Team Ratings'!$A$2:$A$73,0)),"")</f>
        <v>91</v>
      </c>
      <c r="Q46" s="59">
        <f>IFERROR(INDEX('Team Ratings'!$F$2:$F$73,MATCH($E46,'Team Ratings'!$A$2:$A$73,0)),"")</f>
        <v>102.3</v>
      </c>
      <c r="R46" s="59">
        <f>IFERROR(INDEX('Team Ratings'!$G$2:$G$73,MATCH($D46,'Team Ratings'!$A$2:$A$73,0)),"")</f>
        <v>36.700000000000003</v>
      </c>
      <c r="S46" s="59">
        <f>IFERROR(INDEX('Team Ratings'!$G$2:$G$73,MATCH($E46,'Team Ratings'!$A$2:$A$73,0)),"")</f>
        <v>17.2</v>
      </c>
      <c r="T46" s="59">
        <f>IFERROR(INDEX('Team Ratings'!$H$2:$H$73,MATCH($D46,'Team Ratings'!$A$2:$A$73,0)),"")</f>
        <v>58.1</v>
      </c>
      <c r="U46" s="59">
        <f>IFERROR(INDEX('Team Ratings'!$H$2:$H$73,MATCH($E46,'Team Ratings'!$A$2:$A$73,0)),"")</f>
        <v>59.7</v>
      </c>
      <c r="V46" s="59">
        <f>IFERROR(INDEX('Team Ratings'!$K$2:$K$73,MATCH($D46,'Team Ratings'!$A$2:$A$73,0)),"")</f>
        <v>15.5</v>
      </c>
      <c r="W46" s="59">
        <f>IFERROR(INDEX('Team Ratings'!$K$2:$K$73,MATCH($E46,'Team Ratings'!$A$2:$A$73,0)),"")</f>
        <v>16.100000000000001</v>
      </c>
      <c r="X46" s="59">
        <f>IFERROR(INDEX('Team Ratings'!$L$2:$L$73,MATCH($D46,'Team Ratings'!$A$2:$A$73,0)),"")</f>
        <v>35.4</v>
      </c>
      <c r="Y46" s="59">
        <f>IFERROR(INDEX('Team Ratings'!$L$2:$L$73,MATCH($E46,'Team Ratings'!$A$2:$A$73,0)),"")</f>
        <v>31.1</v>
      </c>
      <c r="Z46" s="59">
        <f>IFERROR(INDEX('Team Ratings'!$M$2:$M$73,MATCH($D46,'Team Ratings'!$A$2:$A$73,0)),"")</f>
        <v>27.7</v>
      </c>
      <c r="AA46" s="59">
        <f>IFERROR(INDEX('Team Ratings'!$M$2:$M$73,MATCH($E46,'Team Ratings'!$A$2:$A$73,0)),"")</f>
        <v>27</v>
      </c>
      <c r="AB46" s="59">
        <f>IFERROR(INDEX('Team Ratings'!$O$2:$O$73,MATCH($D46,'Team Ratings'!$A$2:$A$73,0)),"")</f>
        <v>36</v>
      </c>
      <c r="AC46" s="59">
        <f>IFERROR(INDEX('Team Ratings'!$O$2:$O$73,MATCH($E46,'Team Ratings'!$A$2:$A$73,0)),"")</f>
        <v>40.5</v>
      </c>
      <c r="AD46" s="59">
        <f>IFERROR(INDEX('Team Ratings'!$Q$2:$Q$73,MATCH($D46,'Team Ratings'!$A$2:$A$73,0)),"")</f>
        <v>-2</v>
      </c>
      <c r="AE46" s="59">
        <f>IFERROR(INDEX('Team Ratings'!$Q$2:$Q$73,MATCH($E46,'Team Ratings'!$A$2:$A$73,0)),"")</f>
        <v>0</v>
      </c>
      <c r="AF46" s="56" t="s">
        <v>395</v>
      </c>
      <c r="AG46" s="56" t="s">
        <v>86</v>
      </c>
      <c r="AH46" s="60" t="s">
        <v>397</v>
      </c>
    </row>
    <row r="47" spans="1:34" ht="20" customHeight="1" x14ac:dyDescent="0.2">
      <c r="A47" s="56" t="s">
        <v>150</v>
      </c>
      <c r="B47" s="56" t="s">
        <v>202</v>
      </c>
      <c r="C47" s="56">
        <v>214</v>
      </c>
      <c r="D47" s="56" t="s">
        <v>83</v>
      </c>
      <c r="E47" s="56" t="s">
        <v>82</v>
      </c>
      <c r="F47" s="56" t="s">
        <v>82</v>
      </c>
      <c r="G47" s="56" t="s">
        <v>449</v>
      </c>
      <c r="H47" s="56" t="s">
        <v>450</v>
      </c>
      <c r="I47" s="57" t="s">
        <v>394</v>
      </c>
      <c r="J47" s="56">
        <f>IFERROR(INDEX('Team Ratings'!$B$2:$B$73,MATCH($D47,'Team Ratings'!$A$2:$A$73,0)),"")</f>
        <v>5</v>
      </c>
      <c r="K47" s="56">
        <f>IFERROR(INDEX('Team Ratings'!$B$2:$B$73,MATCH($E47,'Team Ratings'!$A$2:$A$73,0)),"")</f>
        <v>4</v>
      </c>
      <c r="L47" s="58">
        <f>IFERROR(INDEX('Team Ratings'!$D$2:$D$73,MATCH($D47,'Team Ratings'!$A$2:$A$73,0)),"")</f>
        <v>0.94389999999999996</v>
      </c>
      <c r="M47" s="58">
        <f>IFERROR(INDEX('Team Ratings'!$D$2:$D$73,MATCH($E47,'Team Ratings'!$A$2:$A$73,0)),"")</f>
        <v>0.93440000000000001</v>
      </c>
      <c r="N47" s="59">
        <f>IFERROR(INDEX('Team Ratings'!$E$2:$E$73,MATCH($D47,'Team Ratings'!$A$2:$A$73,0)),"")</f>
        <v>126.3</v>
      </c>
      <c r="O47" s="59">
        <f>IFERROR(INDEX('Team Ratings'!$E$2:$E$73,MATCH($E47,'Team Ratings'!$A$2:$A$73,0)),"")</f>
        <v>129.5</v>
      </c>
      <c r="P47" s="59">
        <f>IFERROR(INDEX('Team Ratings'!$F$2:$F$73,MATCH($D47,'Team Ratings'!$A$2:$A$73,0)),"")</f>
        <v>98.8</v>
      </c>
      <c r="Q47" s="59">
        <f>IFERROR(INDEX('Team Ratings'!$F$2:$F$73,MATCH($E47,'Team Ratings'!$A$2:$A$73,0)),"")</f>
        <v>102.8</v>
      </c>
      <c r="R47" s="59">
        <f>IFERROR(INDEX('Team Ratings'!$G$2:$G$73,MATCH($D47,'Team Ratings'!$A$2:$A$73,0)),"")</f>
        <v>27.5</v>
      </c>
      <c r="S47" s="59">
        <f>IFERROR(INDEX('Team Ratings'!$G$2:$G$73,MATCH($E47,'Team Ratings'!$A$2:$A$73,0)),"")</f>
        <v>26.7</v>
      </c>
      <c r="T47" s="59">
        <f>IFERROR(INDEX('Team Ratings'!$H$2:$H$73,MATCH($D47,'Team Ratings'!$A$2:$A$73,0)),"")</f>
        <v>56.2</v>
      </c>
      <c r="U47" s="59">
        <f>IFERROR(INDEX('Team Ratings'!$H$2:$H$73,MATCH($E47,'Team Ratings'!$A$2:$A$73,0)),"")</f>
        <v>55.4</v>
      </c>
      <c r="V47" s="59">
        <f>IFERROR(INDEX('Team Ratings'!$K$2:$K$73,MATCH($D47,'Team Ratings'!$A$2:$A$73,0)),"")</f>
        <v>14.7</v>
      </c>
      <c r="W47" s="59">
        <f>IFERROR(INDEX('Team Ratings'!$K$2:$K$73,MATCH($E47,'Team Ratings'!$A$2:$A$73,0)),"")</f>
        <v>12.6</v>
      </c>
      <c r="X47" s="59">
        <f>IFERROR(INDEX('Team Ratings'!$L$2:$L$73,MATCH($D47,'Team Ratings'!$A$2:$A$73,0)),"")</f>
        <v>33.299999999999997</v>
      </c>
      <c r="Y47" s="59">
        <f>IFERROR(INDEX('Team Ratings'!$L$2:$L$73,MATCH($E47,'Team Ratings'!$A$2:$A$73,0)),"")</f>
        <v>31.8</v>
      </c>
      <c r="Z47" s="59">
        <f>IFERROR(INDEX('Team Ratings'!$M$2:$M$73,MATCH($D47,'Team Ratings'!$A$2:$A$73,0)),"")</f>
        <v>30.1</v>
      </c>
      <c r="AA47" s="59">
        <f>IFERROR(INDEX('Team Ratings'!$M$2:$M$73,MATCH($E47,'Team Ratings'!$A$2:$A$73,0)),"")</f>
        <v>32.799999999999997</v>
      </c>
      <c r="AB47" s="59">
        <f>IFERROR(INDEX('Team Ratings'!$O$2:$O$73,MATCH($D47,'Team Ratings'!$A$2:$A$73,0)),"")</f>
        <v>39.299999999999997</v>
      </c>
      <c r="AC47" s="59">
        <f>IFERROR(INDEX('Team Ratings'!$O$2:$O$73,MATCH($E47,'Team Ratings'!$A$2:$A$73,0)),"")</f>
        <v>35.799999999999997</v>
      </c>
      <c r="AD47" s="59">
        <f>IFERROR(INDEX('Team Ratings'!$Q$2:$Q$73,MATCH($D47,'Team Ratings'!$A$2:$A$73,0)),"")</f>
        <v>0</v>
      </c>
      <c r="AE47" s="59">
        <f>IFERROR(INDEX('Team Ratings'!$Q$2:$Q$73,MATCH($E47,'Team Ratings'!$A$2:$A$73,0)),"")</f>
        <v>0</v>
      </c>
      <c r="AF47" s="56" t="s">
        <v>395</v>
      </c>
      <c r="AG47" s="56" t="s">
        <v>92</v>
      </c>
      <c r="AH47" s="60" t="s">
        <v>397</v>
      </c>
    </row>
    <row r="48" spans="1:34" ht="20" customHeight="1" x14ac:dyDescent="0.2">
      <c r="A48" s="56" t="s">
        <v>142</v>
      </c>
      <c r="B48" s="56" t="s">
        <v>202</v>
      </c>
      <c r="C48" s="56">
        <v>215</v>
      </c>
      <c r="D48" s="56" t="s">
        <v>84</v>
      </c>
      <c r="E48" s="56" t="s">
        <v>81</v>
      </c>
      <c r="F48" s="56" t="s">
        <v>84</v>
      </c>
      <c r="G48" s="56" t="s">
        <v>451</v>
      </c>
      <c r="H48" s="56" t="s">
        <v>275</v>
      </c>
      <c r="I48" s="57" t="s">
        <v>394</v>
      </c>
      <c r="J48" s="56">
        <f>IFERROR(INDEX('Team Ratings'!$B$2:$B$73,MATCH($D48,'Team Ratings'!$A$2:$A$73,0)),"")</f>
        <v>6</v>
      </c>
      <c r="K48" s="56">
        <f>IFERROR(INDEX('Team Ratings'!$B$2:$B$73,MATCH($E48,'Team Ratings'!$A$2:$A$73,0)),"")</f>
        <v>3</v>
      </c>
      <c r="L48" s="58">
        <f>IFERROR(INDEX('Team Ratings'!$D$2:$D$73,MATCH($D48,'Team Ratings'!$A$2:$A$73,0)),"")</f>
        <v>0.94079999999999997</v>
      </c>
      <c r="M48" s="58">
        <f>IFERROR(INDEX('Team Ratings'!$D$2:$D$73,MATCH($E48,'Team Ratings'!$A$2:$A$73,0)),"")</f>
        <v>0.94269999999999998</v>
      </c>
      <c r="N48" s="59">
        <f>IFERROR(INDEX('Team Ratings'!$E$2:$E$73,MATCH($D48,'Team Ratings'!$A$2:$A$73,0)),"")</f>
        <v>121.5</v>
      </c>
      <c r="O48" s="59">
        <f>IFERROR(INDEX('Team Ratings'!$E$2:$E$73,MATCH($E48,'Team Ratings'!$A$2:$A$73,0)),"")</f>
        <v>122.3</v>
      </c>
      <c r="P48" s="59">
        <f>IFERROR(INDEX('Team Ratings'!$F$2:$F$73,MATCH($D48,'Team Ratings'!$A$2:$A$73,0)),"")</f>
        <v>95.5</v>
      </c>
      <c r="Q48" s="59">
        <f>IFERROR(INDEX('Team Ratings'!$F$2:$F$73,MATCH($E48,'Team Ratings'!$A$2:$A$73,0)),"")</f>
        <v>95.8</v>
      </c>
      <c r="R48" s="59">
        <f>IFERROR(INDEX('Team Ratings'!$G$2:$G$73,MATCH($D48,'Team Ratings'!$A$2:$A$73,0)),"")</f>
        <v>26</v>
      </c>
      <c r="S48" s="59">
        <f>IFERROR(INDEX('Team Ratings'!$G$2:$G$73,MATCH($E48,'Team Ratings'!$A$2:$A$73,0)),"")</f>
        <v>26.5</v>
      </c>
      <c r="T48" s="59">
        <f>IFERROR(INDEX('Team Ratings'!$H$2:$H$73,MATCH($D48,'Team Ratings'!$A$2:$A$73,0)),"")</f>
        <v>51.6</v>
      </c>
      <c r="U48" s="59">
        <f>IFERROR(INDEX('Team Ratings'!$H$2:$H$73,MATCH($E48,'Team Ratings'!$A$2:$A$73,0)),"")</f>
        <v>54.6</v>
      </c>
      <c r="V48" s="59">
        <f>IFERROR(INDEX('Team Ratings'!$K$2:$K$73,MATCH($D48,'Team Ratings'!$A$2:$A$73,0)),"")</f>
        <v>16.3</v>
      </c>
      <c r="W48" s="59">
        <f>IFERROR(INDEX('Team Ratings'!$K$2:$K$73,MATCH($E48,'Team Ratings'!$A$2:$A$73,0)),"")</f>
        <v>15.6</v>
      </c>
      <c r="X48" s="59">
        <f>IFERROR(INDEX('Team Ratings'!$L$2:$L$73,MATCH($D48,'Team Ratings'!$A$2:$A$73,0)),"")</f>
        <v>45.1</v>
      </c>
      <c r="Y48" s="59">
        <f>IFERROR(INDEX('Team Ratings'!$L$2:$L$73,MATCH($E48,'Team Ratings'!$A$2:$A$73,0)),"")</f>
        <v>37.9</v>
      </c>
      <c r="Z48" s="59">
        <f>IFERROR(INDEX('Team Ratings'!$M$2:$M$73,MATCH($D48,'Team Ratings'!$A$2:$A$73,0)),"")</f>
        <v>27.9</v>
      </c>
      <c r="AA48" s="59">
        <f>IFERROR(INDEX('Team Ratings'!$M$2:$M$73,MATCH($E48,'Team Ratings'!$A$2:$A$73,0)),"")</f>
        <v>29.2</v>
      </c>
      <c r="AB48" s="59">
        <f>IFERROR(INDEX('Team Ratings'!$O$2:$O$73,MATCH($D48,'Team Ratings'!$A$2:$A$73,0)),"")</f>
        <v>33.4</v>
      </c>
      <c r="AC48" s="59">
        <f>IFERROR(INDEX('Team Ratings'!$O$2:$O$73,MATCH($E48,'Team Ratings'!$A$2:$A$73,0)),"")</f>
        <v>35.9</v>
      </c>
      <c r="AD48" s="59">
        <f>IFERROR(INDEX('Team Ratings'!$Q$2:$Q$73,MATCH($D48,'Team Ratings'!$A$2:$A$73,0)),"")</f>
        <v>0</v>
      </c>
      <c r="AE48" s="59">
        <f>IFERROR(INDEX('Team Ratings'!$Q$2:$Q$73,MATCH($E48,'Team Ratings'!$A$2:$A$73,0)),"")</f>
        <v>0</v>
      </c>
      <c r="AF48" s="56" t="s">
        <v>395</v>
      </c>
      <c r="AG48" s="56" t="s">
        <v>81</v>
      </c>
      <c r="AH48" s="60" t="s">
        <v>397</v>
      </c>
    </row>
    <row r="49" spans="1:34" ht="20" customHeight="1" x14ac:dyDescent="0.2">
      <c r="A49" s="56" t="s">
        <v>134</v>
      </c>
      <c r="B49" s="56" t="s">
        <v>202</v>
      </c>
      <c r="C49" s="56">
        <v>216</v>
      </c>
      <c r="D49" s="56" t="s">
        <v>85</v>
      </c>
      <c r="E49" s="56" t="s">
        <v>80</v>
      </c>
      <c r="F49" s="56" t="s">
        <v>80</v>
      </c>
      <c r="G49" s="56" t="s">
        <v>452</v>
      </c>
      <c r="H49" s="56" t="s">
        <v>453</v>
      </c>
      <c r="I49" s="57" t="s">
        <v>394</v>
      </c>
      <c r="J49" s="56">
        <f>IFERROR(INDEX('Team Ratings'!$B$2:$B$73,MATCH($D49,'Team Ratings'!$A$2:$A$73,0)),"")</f>
        <v>7</v>
      </c>
      <c r="K49" s="56">
        <f>IFERROR(INDEX('Team Ratings'!$B$2:$B$73,MATCH($E49,'Team Ratings'!$A$2:$A$73,0)),"")</f>
        <v>2</v>
      </c>
      <c r="L49" s="58">
        <f>IFERROR(INDEX('Team Ratings'!$D$2:$D$73,MATCH($D49,'Team Ratings'!$A$2:$A$73,0)),"")</f>
        <v>0.89</v>
      </c>
      <c r="M49" s="58">
        <f>IFERROR(INDEX('Team Ratings'!$D$2:$D$73,MATCH($E49,'Team Ratings'!$A$2:$A$73,0)),"")</f>
        <v>0.96550000000000002</v>
      </c>
      <c r="N49" s="59">
        <f>IFERROR(INDEX('Team Ratings'!$E$2:$E$73,MATCH($D49,'Team Ratings'!$A$2:$A$73,0)),"")</f>
        <v>119.9</v>
      </c>
      <c r="O49" s="59">
        <f>IFERROR(INDEX('Team Ratings'!$E$2:$E$73,MATCH($E49,'Team Ratings'!$A$2:$A$73,0)),"")</f>
        <v>123.8</v>
      </c>
      <c r="P49" s="59">
        <f>IFERROR(INDEX('Team Ratings'!$F$2:$F$73,MATCH($D49,'Team Ratings'!$A$2:$A$73,0)),"")</f>
        <v>100</v>
      </c>
      <c r="Q49" s="59">
        <f>IFERROR(INDEX('Team Ratings'!$F$2:$F$73,MATCH($E49,'Team Ratings'!$A$2:$A$73,0)),"")</f>
        <v>92.6</v>
      </c>
      <c r="R49" s="59">
        <f>IFERROR(INDEX('Team Ratings'!$G$2:$G$73,MATCH($D49,'Team Ratings'!$A$2:$A$73,0)),"")</f>
        <v>19.899999999999999</v>
      </c>
      <c r="S49" s="59">
        <f>IFERROR(INDEX('Team Ratings'!$G$2:$G$73,MATCH($E49,'Team Ratings'!$A$2:$A$73,0)),"")</f>
        <v>31.2</v>
      </c>
      <c r="T49" s="59">
        <f>IFERROR(INDEX('Team Ratings'!$H$2:$H$73,MATCH($D49,'Team Ratings'!$A$2:$A$73,0)),"")</f>
        <v>53.1</v>
      </c>
      <c r="U49" s="59">
        <f>IFERROR(INDEX('Team Ratings'!$H$2:$H$73,MATCH($E49,'Team Ratings'!$A$2:$A$73,0)),"")</f>
        <v>56.5</v>
      </c>
      <c r="V49" s="59">
        <f>IFERROR(INDEX('Team Ratings'!$K$2:$K$73,MATCH($D49,'Team Ratings'!$A$2:$A$73,0)),"")</f>
        <v>15.8</v>
      </c>
      <c r="W49" s="59">
        <f>IFERROR(INDEX('Team Ratings'!$K$2:$K$73,MATCH($E49,'Team Ratings'!$A$2:$A$73,0)),"")</f>
        <v>22.4</v>
      </c>
      <c r="X49" s="59">
        <f>IFERROR(INDEX('Team Ratings'!$L$2:$L$73,MATCH($D49,'Team Ratings'!$A$2:$A$73,0)),"")</f>
        <v>33.799999999999997</v>
      </c>
      <c r="Y49" s="59">
        <f>IFERROR(INDEX('Team Ratings'!$L$2:$L$73,MATCH($E49,'Team Ratings'!$A$2:$A$73,0)),"")</f>
        <v>35.299999999999997</v>
      </c>
      <c r="Z49" s="59">
        <f>IFERROR(INDEX('Team Ratings'!$M$2:$M$73,MATCH($D49,'Team Ratings'!$A$2:$A$73,0)),"")</f>
        <v>30.1</v>
      </c>
      <c r="AA49" s="59">
        <f>IFERROR(INDEX('Team Ratings'!$M$2:$M$73,MATCH($E49,'Team Ratings'!$A$2:$A$73,0)),"")</f>
        <v>28.1</v>
      </c>
      <c r="AB49" s="59">
        <f>IFERROR(INDEX('Team Ratings'!$O$2:$O$73,MATCH($D49,'Team Ratings'!$A$2:$A$73,0)),"")</f>
        <v>34.1</v>
      </c>
      <c r="AC49" s="59">
        <f>IFERROR(INDEX('Team Ratings'!$O$2:$O$73,MATCH($E49,'Team Ratings'!$A$2:$A$73,0)),"")</f>
        <v>38.700000000000003</v>
      </c>
      <c r="AD49" s="59">
        <f>IFERROR(INDEX('Team Ratings'!$Q$2:$Q$73,MATCH($D49,'Team Ratings'!$A$2:$A$73,0)),"")</f>
        <v>-1</v>
      </c>
      <c r="AE49" s="59">
        <f>IFERROR(INDEX('Team Ratings'!$Q$2:$Q$73,MATCH($E49,'Team Ratings'!$A$2:$A$73,0)),"")</f>
        <v>0</v>
      </c>
      <c r="AF49" s="56" t="s">
        <v>395</v>
      </c>
      <c r="AG49" s="56" t="s">
        <v>80</v>
      </c>
      <c r="AH49" s="57" t="s">
        <v>394</v>
      </c>
    </row>
    <row r="50" spans="1:34" ht="20" customHeight="1" x14ac:dyDescent="0.2">
      <c r="A50" s="56" t="s">
        <v>203</v>
      </c>
      <c r="B50" s="56" t="s">
        <v>211</v>
      </c>
      <c r="C50" s="56">
        <v>301</v>
      </c>
      <c r="D50" s="56" t="s">
        <v>21</v>
      </c>
      <c r="E50" s="56" t="s">
        <v>27</v>
      </c>
      <c r="F50" s="56"/>
      <c r="G50" s="56"/>
      <c r="H50" s="56" t="s">
        <v>454</v>
      </c>
      <c r="I50" s="61" t="s">
        <v>397</v>
      </c>
      <c r="J50" s="56">
        <f>IFERROR(INDEX('Team Ratings'!$B$2:$B$73,MATCH($D50,'Team Ratings'!$A$2:$A$73,0)),"")</f>
        <v>1</v>
      </c>
      <c r="K50" s="56">
        <f>IFERROR(INDEX('Team Ratings'!$B$2:$B$73,MATCH($E50,'Team Ratings'!$A$2:$A$73,0)),"")</f>
        <v>5</v>
      </c>
      <c r="L50" s="58">
        <f>IFERROR(INDEX('Team Ratings'!$D$2:$D$73,MATCH($D50,'Team Ratings'!$A$2:$A$73,0)),"")</f>
        <v>0.98129999999999995</v>
      </c>
      <c r="M50" s="58">
        <f>IFERROR(INDEX('Team Ratings'!$D$2:$D$73,MATCH($E50,'Team Ratings'!$A$2:$A$73,0)),"")</f>
        <v>0.9415</v>
      </c>
      <c r="N50" s="59">
        <f>IFERROR(INDEX('Team Ratings'!$E$2:$E$73,MATCH($D50,'Team Ratings'!$A$2:$A$73,0)),"")</f>
        <v>128.19999999999999</v>
      </c>
      <c r="O50" s="59">
        <f>IFERROR(INDEX('Team Ratings'!$E$2:$E$73,MATCH($E50,'Team Ratings'!$A$2:$A$73,0)),"")</f>
        <v>119.8</v>
      </c>
      <c r="P50" s="59">
        <f>IFERROR(INDEX('Team Ratings'!$F$2:$F$73,MATCH($D50,'Team Ratings'!$A$2:$A$73,0)),"")</f>
        <v>90.8</v>
      </c>
      <c r="Q50" s="59">
        <f>IFERROR(INDEX('Team Ratings'!$F$2:$F$73,MATCH($E50,'Team Ratings'!$A$2:$A$73,0)),"")</f>
        <v>94.1</v>
      </c>
      <c r="R50" s="59">
        <f>IFERROR(INDEX('Team Ratings'!$G$2:$G$73,MATCH($D50,'Team Ratings'!$A$2:$A$73,0)),"")</f>
        <v>37.4</v>
      </c>
      <c r="S50" s="59">
        <f>IFERROR(INDEX('Team Ratings'!$G$2:$G$73,MATCH($E50,'Team Ratings'!$A$2:$A$73,0)),"")</f>
        <v>25.7</v>
      </c>
      <c r="T50" s="59">
        <f>IFERROR(INDEX('Team Ratings'!$H$2:$H$73,MATCH($D50,'Team Ratings'!$A$2:$A$73,0)),"")</f>
        <v>56.8</v>
      </c>
      <c r="U50" s="59">
        <f>IFERROR(INDEX('Team Ratings'!$H$2:$H$73,MATCH($E50,'Team Ratings'!$A$2:$A$73,0)),"")</f>
        <v>51</v>
      </c>
      <c r="V50" s="59">
        <f>IFERROR(INDEX('Team Ratings'!$K$2:$K$73,MATCH($D50,'Team Ratings'!$A$2:$A$73,0)),"")</f>
        <v>18.100000000000001</v>
      </c>
      <c r="W50" s="59">
        <f>IFERROR(INDEX('Team Ratings'!$K$2:$K$73,MATCH($E50,'Team Ratings'!$A$2:$A$73,0)),"")</f>
        <v>19.399999999999999</v>
      </c>
      <c r="X50" s="59">
        <f>IFERROR(INDEX('Team Ratings'!$L$2:$L$73,MATCH($D50,'Team Ratings'!$A$2:$A$73,0)),"")</f>
        <v>38.1</v>
      </c>
      <c r="Y50" s="59">
        <f>IFERROR(INDEX('Team Ratings'!$L$2:$L$73,MATCH($E50,'Team Ratings'!$A$2:$A$73,0)),"")</f>
        <v>35.9</v>
      </c>
      <c r="Z50" s="59">
        <f>IFERROR(INDEX('Team Ratings'!$M$2:$M$73,MATCH($D50,'Team Ratings'!$A$2:$A$73,0)),"")</f>
        <v>24.8</v>
      </c>
      <c r="AA50" s="59">
        <f>IFERROR(INDEX('Team Ratings'!$M$2:$M$73,MATCH($E50,'Team Ratings'!$A$2:$A$73,0)),"")</f>
        <v>30.2</v>
      </c>
      <c r="AB50" s="59">
        <f>IFERROR(INDEX('Team Ratings'!$O$2:$O$73,MATCH($D50,'Team Ratings'!$A$2:$A$73,0)),"")</f>
        <v>35.1</v>
      </c>
      <c r="AC50" s="59">
        <f>IFERROR(INDEX('Team Ratings'!$O$2:$O$73,MATCH($E50,'Team Ratings'!$A$2:$A$73,0)),"")</f>
        <v>33.200000000000003</v>
      </c>
      <c r="AD50" s="59">
        <f>IFERROR(INDEX('Team Ratings'!$Q$2:$Q$73,MATCH($D50,'Team Ratings'!$A$2:$A$73,0)),"")</f>
        <v>-2.5</v>
      </c>
      <c r="AE50" s="59">
        <f>IFERROR(INDEX('Team Ratings'!$Q$2:$Q$73,MATCH($E50,'Team Ratings'!$A$2:$A$73,0)),"")</f>
        <v>0</v>
      </c>
      <c r="AF50" s="56" t="s">
        <v>395</v>
      </c>
      <c r="AG50" s="56" t="s">
        <v>24</v>
      </c>
      <c r="AH50" s="56"/>
    </row>
    <row r="51" spans="1:34" ht="20" customHeight="1" x14ac:dyDescent="0.2">
      <c r="A51" s="56" t="s">
        <v>204</v>
      </c>
      <c r="B51" s="56" t="s">
        <v>211</v>
      </c>
      <c r="C51" s="56">
        <v>302</v>
      </c>
      <c r="D51" s="56" t="s">
        <v>25</v>
      </c>
      <c r="E51" s="56" t="s">
        <v>24</v>
      </c>
      <c r="F51" s="56"/>
      <c r="G51" s="56"/>
      <c r="H51" s="56" t="s">
        <v>455</v>
      </c>
      <c r="I51" s="61" t="s">
        <v>397</v>
      </c>
      <c r="J51" s="56">
        <f>IFERROR(INDEX('Team Ratings'!$B$2:$B$73,MATCH($D51,'Team Ratings'!$A$2:$A$73,0)),"")</f>
        <v>3</v>
      </c>
      <c r="K51" s="56">
        <f>IFERROR(INDEX('Team Ratings'!$B$2:$B$73,MATCH($E51,'Team Ratings'!$A$2:$A$73,0)),"")</f>
        <v>2</v>
      </c>
      <c r="L51" s="58">
        <f>IFERROR(INDEX('Team Ratings'!$D$2:$D$73,MATCH($D51,'Team Ratings'!$A$2:$A$73,0)),"")</f>
        <v>0.94379999999999997</v>
      </c>
      <c r="M51" s="58">
        <f>IFERROR(INDEX('Team Ratings'!$D$2:$D$73,MATCH($E51,'Team Ratings'!$A$2:$A$73,0)),"")</f>
        <v>0.95169999999999999</v>
      </c>
      <c r="N51" s="59">
        <f>IFERROR(INDEX('Team Ratings'!$E$2:$E$73,MATCH($D51,'Team Ratings'!$A$2:$A$73,0)),"")</f>
        <v>122.9</v>
      </c>
      <c r="O51" s="59">
        <f>IFERROR(INDEX('Team Ratings'!$E$2:$E$73,MATCH($E51,'Team Ratings'!$A$2:$A$73,0)),"")</f>
        <v>123.1</v>
      </c>
      <c r="P51" s="59">
        <f>IFERROR(INDEX('Team Ratings'!$F$2:$F$73,MATCH($D51,'Team Ratings'!$A$2:$A$73,0)),"")</f>
        <v>96.2</v>
      </c>
      <c r="Q51" s="59">
        <f>IFERROR(INDEX('Team Ratings'!$F$2:$F$73,MATCH($E51,'Team Ratings'!$A$2:$A$73,0)),"")</f>
        <v>95</v>
      </c>
      <c r="R51" s="59">
        <f>IFERROR(INDEX('Team Ratings'!$G$2:$G$73,MATCH($D51,'Team Ratings'!$A$2:$A$73,0)),"")</f>
        <v>26.7</v>
      </c>
      <c r="S51" s="59">
        <f>IFERROR(INDEX('Team Ratings'!$G$2:$G$73,MATCH($E51,'Team Ratings'!$A$2:$A$73,0)),"")</f>
        <v>28.1</v>
      </c>
      <c r="T51" s="59">
        <f>IFERROR(INDEX('Team Ratings'!$H$2:$H$73,MATCH($D51,'Team Ratings'!$A$2:$A$73,0)),"")</f>
        <v>53.6</v>
      </c>
      <c r="U51" s="59">
        <f>IFERROR(INDEX('Team Ratings'!$H$2:$H$73,MATCH($E51,'Team Ratings'!$A$2:$A$73,0)),"")</f>
        <v>55.3</v>
      </c>
      <c r="V51" s="59">
        <f>IFERROR(INDEX('Team Ratings'!$K$2:$K$73,MATCH($D51,'Team Ratings'!$A$2:$A$73,0)),"")</f>
        <v>14.8</v>
      </c>
      <c r="W51" s="59">
        <f>IFERROR(INDEX('Team Ratings'!$K$2:$K$73,MATCH($E51,'Team Ratings'!$A$2:$A$73,0)),"")</f>
        <v>18</v>
      </c>
      <c r="X51" s="59">
        <f>IFERROR(INDEX('Team Ratings'!$L$2:$L$73,MATCH($D51,'Team Ratings'!$A$2:$A$73,0)),"")</f>
        <v>38.5</v>
      </c>
      <c r="Y51" s="59">
        <f>IFERROR(INDEX('Team Ratings'!$L$2:$L$73,MATCH($E51,'Team Ratings'!$A$2:$A$73,0)),"")</f>
        <v>35.700000000000003</v>
      </c>
      <c r="Z51" s="59">
        <f>IFERROR(INDEX('Team Ratings'!$M$2:$M$73,MATCH($D51,'Team Ratings'!$A$2:$A$73,0)),"")</f>
        <v>22.6</v>
      </c>
      <c r="AA51" s="59">
        <f>IFERROR(INDEX('Team Ratings'!$M$2:$M$73,MATCH($E51,'Team Ratings'!$A$2:$A$73,0)),"")</f>
        <v>28.7</v>
      </c>
      <c r="AB51" s="59">
        <f>IFERROR(INDEX('Team Ratings'!$O$2:$O$73,MATCH($D51,'Team Ratings'!$A$2:$A$73,0)),"")</f>
        <v>35.9</v>
      </c>
      <c r="AC51" s="59">
        <f>IFERROR(INDEX('Team Ratings'!$O$2:$O$73,MATCH($E51,'Team Ratings'!$A$2:$A$73,0)),"")</f>
        <v>35.200000000000003</v>
      </c>
      <c r="AD51" s="59">
        <f>IFERROR(INDEX('Team Ratings'!$Q$2:$Q$73,MATCH($D51,'Team Ratings'!$A$2:$A$73,0)),"")</f>
        <v>0</v>
      </c>
      <c r="AE51" s="59">
        <f>IFERROR(INDEX('Team Ratings'!$Q$2:$Q$73,MATCH($E51,'Team Ratings'!$A$2:$A$73,0)),"")</f>
        <v>0</v>
      </c>
      <c r="AF51" s="56" t="s">
        <v>395</v>
      </c>
      <c r="AG51" s="56" t="s">
        <v>41</v>
      </c>
      <c r="AH51" s="56"/>
    </row>
    <row r="52" spans="1:34" ht="20" customHeight="1" x14ac:dyDescent="0.2">
      <c r="A52" s="56" t="s">
        <v>205</v>
      </c>
      <c r="B52" s="56" t="s">
        <v>211</v>
      </c>
      <c r="C52" s="56">
        <v>303</v>
      </c>
      <c r="D52" s="56" t="s">
        <v>39</v>
      </c>
      <c r="E52" s="56" t="s">
        <v>43</v>
      </c>
      <c r="F52" s="56"/>
      <c r="G52" s="56"/>
      <c r="H52" s="56" t="s">
        <v>456</v>
      </c>
      <c r="I52" s="61" t="s">
        <v>397</v>
      </c>
      <c r="J52" s="56">
        <f>IFERROR(INDEX('Team Ratings'!$B$2:$B$73,MATCH($D52,'Team Ratings'!$A$2:$A$73,0)),"")</f>
        <v>1</v>
      </c>
      <c r="K52" s="56">
        <f>IFERROR(INDEX('Team Ratings'!$B$2:$B$73,MATCH($E52,'Team Ratings'!$A$2:$A$73,0)),"")</f>
        <v>4</v>
      </c>
      <c r="L52" s="58">
        <f>IFERROR(INDEX('Team Ratings'!$D$2:$D$73,MATCH($D52,'Team Ratings'!$A$2:$A$73,0)),"")</f>
        <v>0.97760000000000002</v>
      </c>
      <c r="M52" s="58">
        <f>IFERROR(INDEX('Team Ratings'!$D$2:$D$73,MATCH($E52,'Team Ratings'!$A$2:$A$73,0)),"")</f>
        <v>0.93369999999999997</v>
      </c>
      <c r="N52" s="59">
        <f>IFERROR(INDEX('Team Ratings'!$E$2:$E$73,MATCH($D52,'Team Ratings'!$A$2:$A$73,0)),"")</f>
        <v>126.9</v>
      </c>
      <c r="O52" s="59">
        <f>IFERROR(INDEX('Team Ratings'!$E$2:$E$73,MATCH($E52,'Team Ratings'!$A$2:$A$73,0)),"")</f>
        <v>127.9</v>
      </c>
      <c r="P52" s="59">
        <f>IFERROR(INDEX('Team Ratings'!$F$2:$F$73,MATCH($D52,'Team Ratings'!$A$2:$A$73,0)),"")</f>
        <v>91.4</v>
      </c>
      <c r="Q52" s="59">
        <f>IFERROR(INDEX('Team Ratings'!$F$2:$F$73,MATCH($E52,'Team Ratings'!$A$2:$A$73,0)),"")</f>
        <v>101.6</v>
      </c>
      <c r="R52" s="59">
        <f>IFERROR(INDEX('Team Ratings'!$G$2:$G$73,MATCH($D52,'Team Ratings'!$A$2:$A$73,0)),"")</f>
        <v>35.5</v>
      </c>
      <c r="S52" s="59">
        <f>IFERROR(INDEX('Team Ratings'!$G$2:$G$73,MATCH($E52,'Team Ratings'!$A$2:$A$73,0)),"")</f>
        <v>26.3</v>
      </c>
      <c r="T52" s="59">
        <f>IFERROR(INDEX('Team Ratings'!$H$2:$H$73,MATCH($D52,'Team Ratings'!$A$2:$A$73,0)),"")</f>
        <v>55.1</v>
      </c>
      <c r="U52" s="59">
        <f>IFERROR(INDEX('Team Ratings'!$H$2:$H$73,MATCH($E52,'Team Ratings'!$A$2:$A$73,0)),"")</f>
        <v>56.5</v>
      </c>
      <c r="V52" s="59">
        <f>IFERROR(INDEX('Team Ratings'!$K$2:$K$73,MATCH($D52,'Team Ratings'!$A$2:$A$73,0)),"")</f>
        <v>16.7</v>
      </c>
      <c r="W52" s="59">
        <f>IFERROR(INDEX('Team Ratings'!$K$2:$K$73,MATCH($E52,'Team Ratings'!$A$2:$A$73,0)),"")</f>
        <v>15.7</v>
      </c>
      <c r="X52" s="59">
        <f>IFERROR(INDEX('Team Ratings'!$L$2:$L$73,MATCH($D52,'Team Ratings'!$A$2:$A$73,0)),"")</f>
        <v>38.1</v>
      </c>
      <c r="Y52" s="59">
        <f>IFERROR(INDEX('Team Ratings'!$L$2:$L$73,MATCH($E52,'Team Ratings'!$A$2:$A$73,0)),"")</f>
        <v>32.200000000000003</v>
      </c>
      <c r="Z52" s="59">
        <f>IFERROR(INDEX('Team Ratings'!$M$2:$M$73,MATCH($D52,'Team Ratings'!$A$2:$A$73,0)),"")</f>
        <v>26.9</v>
      </c>
      <c r="AA52" s="59">
        <f>IFERROR(INDEX('Team Ratings'!$M$2:$M$73,MATCH($E52,'Team Ratings'!$A$2:$A$73,0)),"")</f>
        <v>31.2</v>
      </c>
      <c r="AB52" s="59">
        <f>IFERROR(INDEX('Team Ratings'!$O$2:$O$73,MATCH($D52,'Team Ratings'!$A$2:$A$73,0)),"")</f>
        <v>36</v>
      </c>
      <c r="AC52" s="59">
        <f>IFERROR(INDEX('Team Ratings'!$O$2:$O$73,MATCH($E52,'Team Ratings'!$A$2:$A$73,0)),"")</f>
        <v>38.9</v>
      </c>
      <c r="AD52" s="59">
        <f>IFERROR(INDEX('Team Ratings'!$Q$2:$Q$73,MATCH($D52,'Team Ratings'!$A$2:$A$73,0)),"")</f>
        <v>0</v>
      </c>
      <c r="AE52" s="59">
        <f>IFERROR(INDEX('Team Ratings'!$Q$2:$Q$73,MATCH($E52,'Team Ratings'!$A$2:$A$73,0)),"")</f>
        <v>0</v>
      </c>
      <c r="AF52" s="56" t="s">
        <v>395</v>
      </c>
      <c r="AG52" s="56" t="s">
        <v>61</v>
      </c>
      <c r="AH52" s="56"/>
    </row>
    <row r="53" spans="1:34" ht="20" customHeight="1" x14ac:dyDescent="0.2">
      <c r="A53" s="56" t="s">
        <v>206</v>
      </c>
      <c r="B53" s="56" t="s">
        <v>211</v>
      </c>
      <c r="C53" s="56">
        <v>304</v>
      </c>
      <c r="D53" s="56" t="s">
        <v>53</v>
      </c>
      <c r="E53" s="56" t="s">
        <v>41</v>
      </c>
      <c r="F53" s="56"/>
      <c r="G53" s="56"/>
      <c r="H53" s="56" t="s">
        <v>457</v>
      </c>
      <c r="I53" s="61" t="s">
        <v>397</v>
      </c>
      <c r="J53" s="56">
        <f>IFERROR(INDEX('Team Ratings'!$B$2:$B$73,MATCH($D53,'Team Ratings'!$A$2:$A$73,0)),"")</f>
        <v>11</v>
      </c>
      <c r="K53" s="56">
        <f>IFERROR(INDEX('Team Ratings'!$B$2:$B$73,MATCH($E53,'Team Ratings'!$A$2:$A$73,0)),"")</f>
        <v>2</v>
      </c>
      <c r="L53" s="58">
        <f>IFERROR(INDEX('Team Ratings'!$D$2:$D$73,MATCH($D53,'Team Ratings'!$A$2:$A$73,0)),"")</f>
        <v>0.85360000000000003</v>
      </c>
      <c r="M53" s="58">
        <f>IFERROR(INDEX('Team Ratings'!$D$2:$D$73,MATCH($E53,'Team Ratings'!$A$2:$A$73,0)),"")</f>
        <v>0.96360000000000001</v>
      </c>
      <c r="N53" s="59">
        <f>IFERROR(INDEX('Team Ratings'!$E$2:$E$73,MATCH($D53,'Team Ratings'!$A$2:$A$73,0)),"")</f>
        <v>124</v>
      </c>
      <c r="O53" s="59">
        <f>IFERROR(INDEX('Team Ratings'!$E$2:$E$73,MATCH($E53,'Team Ratings'!$A$2:$A$73,0)),"")</f>
        <v>133.30000000000001</v>
      </c>
      <c r="P53" s="59">
        <f>IFERROR(INDEX('Team Ratings'!$F$2:$F$73,MATCH($D53,'Team Ratings'!$A$2:$A$73,0)),"")</f>
        <v>106.4</v>
      </c>
      <c r="Q53" s="59">
        <f>IFERROR(INDEX('Team Ratings'!$F$2:$F$73,MATCH($E53,'Team Ratings'!$A$2:$A$73,0)),"")</f>
        <v>100.3</v>
      </c>
      <c r="R53" s="59">
        <f>IFERROR(INDEX('Team Ratings'!$G$2:$G$73,MATCH($D53,'Team Ratings'!$A$2:$A$73,0)),"")</f>
        <v>17.600000000000001</v>
      </c>
      <c r="S53" s="59">
        <f>IFERROR(INDEX('Team Ratings'!$G$2:$G$73,MATCH($E53,'Team Ratings'!$A$2:$A$73,0)),"")</f>
        <v>33</v>
      </c>
      <c r="T53" s="59">
        <f>IFERROR(INDEX('Team Ratings'!$H$2:$H$73,MATCH($D53,'Team Ratings'!$A$2:$A$73,0)),"")</f>
        <v>54.2</v>
      </c>
      <c r="U53" s="59">
        <f>IFERROR(INDEX('Team Ratings'!$H$2:$H$73,MATCH($E53,'Team Ratings'!$A$2:$A$73,0)),"")</f>
        <v>57.6</v>
      </c>
      <c r="V53" s="59">
        <f>IFERROR(INDEX('Team Ratings'!$K$2:$K$73,MATCH($D53,'Team Ratings'!$A$2:$A$73,0)),"")</f>
        <v>13.4</v>
      </c>
      <c r="W53" s="59">
        <f>IFERROR(INDEX('Team Ratings'!$K$2:$K$73,MATCH($E53,'Team Ratings'!$A$2:$A$73,0)),"")</f>
        <v>15.6</v>
      </c>
      <c r="X53" s="59">
        <f>IFERROR(INDEX('Team Ratings'!$L$2:$L$73,MATCH($D53,'Team Ratings'!$A$2:$A$73,0)),"")</f>
        <v>35.700000000000003</v>
      </c>
      <c r="Y53" s="59">
        <f>IFERROR(INDEX('Team Ratings'!$L$2:$L$73,MATCH($E53,'Team Ratings'!$A$2:$A$73,0)),"")</f>
        <v>36.299999999999997</v>
      </c>
      <c r="Z53" s="59">
        <f>IFERROR(INDEX('Team Ratings'!$M$2:$M$73,MATCH($D53,'Team Ratings'!$A$2:$A$73,0)),"")</f>
        <v>26.9</v>
      </c>
      <c r="AA53" s="59">
        <f>IFERROR(INDEX('Team Ratings'!$M$2:$M$73,MATCH($E53,'Team Ratings'!$A$2:$A$73,0)),"")</f>
        <v>26.4</v>
      </c>
      <c r="AB53" s="59">
        <f>IFERROR(INDEX('Team Ratings'!$O$2:$O$73,MATCH($D53,'Team Ratings'!$A$2:$A$73,0)),"")</f>
        <v>34.9</v>
      </c>
      <c r="AC53" s="59">
        <f>IFERROR(INDEX('Team Ratings'!$O$2:$O$73,MATCH($E53,'Team Ratings'!$A$2:$A$73,0)),"")</f>
        <v>37.9</v>
      </c>
      <c r="AD53" s="59">
        <f>IFERROR(INDEX('Team Ratings'!$Q$2:$Q$73,MATCH($D53,'Team Ratings'!$A$2:$A$73,0)),"")</f>
        <v>0</v>
      </c>
      <c r="AE53" s="59">
        <f>IFERROR(INDEX('Team Ratings'!$Q$2:$Q$73,MATCH($E53,'Team Ratings'!$A$2:$A$73,0)),"")</f>
        <v>0</v>
      </c>
      <c r="AF53" s="56" t="s">
        <v>395</v>
      </c>
      <c r="AG53" s="56" t="s">
        <v>80</v>
      </c>
      <c r="AH53" s="56"/>
    </row>
    <row r="54" spans="1:34" ht="20" customHeight="1" x14ac:dyDescent="0.2">
      <c r="A54" s="56" t="s">
        <v>207</v>
      </c>
      <c r="B54" s="56" t="s">
        <v>211</v>
      </c>
      <c r="C54" s="56">
        <v>305</v>
      </c>
      <c r="D54" s="56" t="s">
        <v>68</v>
      </c>
      <c r="E54" s="56" t="s">
        <v>63</v>
      </c>
      <c r="F54" s="56"/>
      <c r="G54" s="56"/>
      <c r="H54" s="56" t="s">
        <v>458</v>
      </c>
      <c r="I54" s="61" t="s">
        <v>397</v>
      </c>
      <c r="J54" s="56">
        <f>IFERROR(INDEX('Team Ratings'!$B$2:$B$73,MATCH($D54,'Team Ratings'!$A$2:$A$73,0)),"")</f>
        <v>9</v>
      </c>
      <c r="K54" s="56">
        <f>IFERROR(INDEX('Team Ratings'!$B$2:$B$73,MATCH($E54,'Team Ratings'!$A$2:$A$73,0)),"")</f>
        <v>4</v>
      </c>
      <c r="L54" s="58">
        <f>IFERROR(INDEX('Team Ratings'!$D$2:$D$73,MATCH($D54,'Team Ratings'!$A$2:$A$73,0)),"")</f>
        <v>0.90680000000000005</v>
      </c>
      <c r="M54" s="58">
        <f>IFERROR(INDEX('Team Ratings'!$D$2:$D$73,MATCH($E54,'Team Ratings'!$A$2:$A$73,0)),"")</f>
        <v>0.93079999999999996</v>
      </c>
      <c r="N54" s="59">
        <f>IFERROR(INDEX('Team Ratings'!$E$2:$E$73,MATCH($D54,'Team Ratings'!$A$2:$A$73,0)),"")</f>
        <v>122.1</v>
      </c>
      <c r="O54" s="59">
        <f>IFERROR(INDEX('Team Ratings'!$E$2:$E$73,MATCH($E54,'Team Ratings'!$A$2:$A$73,0)),"")</f>
        <v>117.2</v>
      </c>
      <c r="P54" s="59">
        <f>IFERROR(INDEX('Team Ratings'!$F$2:$F$73,MATCH($D54,'Team Ratings'!$A$2:$A$73,0)),"")</f>
        <v>100.2</v>
      </c>
      <c r="Q54" s="59">
        <f>IFERROR(INDEX('Team Ratings'!$F$2:$F$73,MATCH($E54,'Team Ratings'!$A$2:$A$73,0)),"")</f>
        <v>93.5</v>
      </c>
      <c r="R54" s="59">
        <f>IFERROR(INDEX('Team Ratings'!$G$2:$G$73,MATCH($D54,'Team Ratings'!$A$2:$A$73,0)),"")</f>
        <v>21.9</v>
      </c>
      <c r="S54" s="59">
        <f>IFERROR(INDEX('Team Ratings'!$G$2:$G$73,MATCH($E54,'Team Ratings'!$A$2:$A$73,0)),"")</f>
        <v>23.7</v>
      </c>
      <c r="T54" s="59">
        <f>IFERROR(INDEX('Team Ratings'!$H$2:$H$73,MATCH($D54,'Team Ratings'!$A$2:$A$73,0)),"")</f>
        <v>56.6</v>
      </c>
      <c r="U54" s="59">
        <f>IFERROR(INDEX('Team Ratings'!$H$2:$H$73,MATCH($E54,'Team Ratings'!$A$2:$A$73,0)),"")</f>
        <v>55.4</v>
      </c>
      <c r="V54" s="59">
        <f>IFERROR(INDEX('Team Ratings'!$K$2:$K$73,MATCH($D54,'Team Ratings'!$A$2:$A$73,0)),"")</f>
        <v>21</v>
      </c>
      <c r="W54" s="59">
        <f>IFERROR(INDEX('Team Ratings'!$K$2:$K$73,MATCH($E54,'Team Ratings'!$A$2:$A$73,0)),"")</f>
        <v>19.2</v>
      </c>
      <c r="X54" s="59">
        <f>IFERROR(INDEX('Team Ratings'!$L$2:$L$73,MATCH($D54,'Team Ratings'!$A$2:$A$73,0)),"")</f>
        <v>30.1</v>
      </c>
      <c r="Y54" s="59">
        <f>IFERROR(INDEX('Team Ratings'!$L$2:$L$73,MATCH($E54,'Team Ratings'!$A$2:$A$73,0)),"")</f>
        <v>26.3</v>
      </c>
      <c r="Z54" s="59">
        <f>IFERROR(INDEX('Team Ratings'!$M$2:$M$73,MATCH($D54,'Team Ratings'!$A$2:$A$73,0)),"")</f>
        <v>28</v>
      </c>
      <c r="AA54" s="59">
        <f>IFERROR(INDEX('Team Ratings'!$M$2:$M$73,MATCH($E54,'Team Ratings'!$A$2:$A$73,0)),"")</f>
        <v>27.7</v>
      </c>
      <c r="AB54" s="59">
        <f>IFERROR(INDEX('Team Ratings'!$O$2:$O$73,MATCH($D54,'Team Ratings'!$A$2:$A$73,0)),"")</f>
        <v>35.700000000000003</v>
      </c>
      <c r="AC54" s="59">
        <f>IFERROR(INDEX('Team Ratings'!$O$2:$O$73,MATCH($E54,'Team Ratings'!$A$2:$A$73,0)),"")</f>
        <v>35.299999999999997</v>
      </c>
      <c r="AD54" s="59">
        <f>IFERROR(INDEX('Team Ratings'!$Q$2:$Q$73,MATCH($D54,'Team Ratings'!$A$2:$A$73,0)),"")</f>
        <v>0</v>
      </c>
      <c r="AE54" s="59">
        <f>IFERROR(INDEX('Team Ratings'!$Q$2:$Q$73,MATCH($E54,'Team Ratings'!$A$2:$A$73,0)),"")</f>
        <v>0</v>
      </c>
      <c r="AF54" s="56" t="s">
        <v>395</v>
      </c>
      <c r="AG54" s="56" t="s">
        <v>43</v>
      </c>
      <c r="AH54" s="56"/>
    </row>
    <row r="55" spans="1:34" ht="20" customHeight="1" x14ac:dyDescent="0.2">
      <c r="A55" s="56" t="s">
        <v>208</v>
      </c>
      <c r="B55" s="56" t="s">
        <v>211</v>
      </c>
      <c r="C55" s="56">
        <v>306</v>
      </c>
      <c r="D55" s="56" t="s">
        <v>62</v>
      </c>
      <c r="E55" s="56" t="s">
        <v>61</v>
      </c>
      <c r="F55" s="56"/>
      <c r="G55" s="56"/>
      <c r="H55" s="56" t="s">
        <v>459</v>
      </c>
      <c r="I55" s="61" t="s">
        <v>397</v>
      </c>
      <c r="J55" s="56">
        <f>IFERROR(INDEX('Team Ratings'!$B$2:$B$73,MATCH($D55,'Team Ratings'!$A$2:$A$73,0)),"")</f>
        <v>3</v>
      </c>
      <c r="K55" s="56">
        <f>IFERROR(INDEX('Team Ratings'!$B$2:$B$73,MATCH($E55,'Team Ratings'!$A$2:$A$73,0)),"")</f>
        <v>2</v>
      </c>
      <c r="L55" s="58">
        <f>IFERROR(INDEX('Team Ratings'!$D$2:$D$73,MATCH($D55,'Team Ratings'!$A$2:$A$73,0)),"")</f>
        <v>0.96760000000000002</v>
      </c>
      <c r="M55" s="58">
        <f>IFERROR(INDEX('Team Ratings'!$D$2:$D$73,MATCH($E55,'Team Ratings'!$A$2:$A$73,0)),"")</f>
        <v>0.97089999999999999</v>
      </c>
      <c r="N55" s="59">
        <f>IFERROR(INDEX('Team Ratings'!$E$2:$E$73,MATCH($D55,'Team Ratings'!$A$2:$A$73,0)),"")</f>
        <v>131.9</v>
      </c>
      <c r="O55" s="59">
        <f>IFERROR(INDEX('Team Ratings'!$E$2:$E$73,MATCH($E55,'Team Ratings'!$A$2:$A$73,0)),"")</f>
        <v>125.3</v>
      </c>
      <c r="P55" s="59">
        <f>IFERROR(INDEX('Team Ratings'!$F$2:$F$73,MATCH($D55,'Team Ratings'!$A$2:$A$73,0)),"")</f>
        <v>98.2</v>
      </c>
      <c r="Q55" s="59">
        <f>IFERROR(INDEX('Team Ratings'!$F$2:$F$73,MATCH($E55,'Team Ratings'!$A$2:$A$73,0)),"")</f>
        <v>92.4</v>
      </c>
      <c r="R55" s="59">
        <f>IFERROR(INDEX('Team Ratings'!$G$2:$G$73,MATCH($D55,'Team Ratings'!$A$2:$A$73,0)),"")</f>
        <v>33.700000000000003</v>
      </c>
      <c r="S55" s="59">
        <f>IFERROR(INDEX('Team Ratings'!$G$2:$G$73,MATCH($E55,'Team Ratings'!$A$2:$A$73,0)),"")</f>
        <v>32.9</v>
      </c>
      <c r="T55" s="59">
        <f>IFERROR(INDEX('Team Ratings'!$H$2:$H$73,MATCH($D55,'Team Ratings'!$A$2:$A$73,0)),"")</f>
        <v>55.1</v>
      </c>
      <c r="U55" s="59">
        <f>IFERROR(INDEX('Team Ratings'!$H$2:$H$73,MATCH($E55,'Team Ratings'!$A$2:$A$73,0)),"")</f>
        <v>52.1</v>
      </c>
      <c r="V55" s="59">
        <f>IFERROR(INDEX('Team Ratings'!$K$2:$K$73,MATCH($D55,'Team Ratings'!$A$2:$A$73,0)),"")</f>
        <v>11.6</v>
      </c>
      <c r="W55" s="59">
        <f>IFERROR(INDEX('Team Ratings'!$K$2:$K$73,MATCH($E55,'Team Ratings'!$A$2:$A$73,0)),"")</f>
        <v>21</v>
      </c>
      <c r="X55" s="59">
        <f>IFERROR(INDEX('Team Ratings'!$L$2:$L$73,MATCH($D55,'Team Ratings'!$A$2:$A$73,0)),"")</f>
        <v>38.700000000000003</v>
      </c>
      <c r="Y55" s="59">
        <f>IFERROR(INDEX('Team Ratings'!$L$2:$L$73,MATCH($E55,'Team Ratings'!$A$2:$A$73,0)),"")</f>
        <v>35.9</v>
      </c>
      <c r="Z55" s="59">
        <f>IFERROR(INDEX('Team Ratings'!$M$2:$M$73,MATCH($D55,'Team Ratings'!$A$2:$A$73,0)),"")</f>
        <v>27</v>
      </c>
      <c r="AA55" s="59">
        <f>IFERROR(INDEX('Team Ratings'!$M$2:$M$73,MATCH($E55,'Team Ratings'!$A$2:$A$73,0)),"")</f>
        <v>30.9</v>
      </c>
      <c r="AB55" s="59">
        <f>IFERROR(INDEX('Team Ratings'!$O$2:$O$73,MATCH($D55,'Team Ratings'!$A$2:$A$73,0)),"")</f>
        <v>34.700000000000003</v>
      </c>
      <c r="AC55" s="59">
        <f>IFERROR(INDEX('Team Ratings'!$O$2:$O$73,MATCH($E55,'Team Ratings'!$A$2:$A$73,0)),"")</f>
        <v>34.9</v>
      </c>
      <c r="AD55" s="59">
        <f>IFERROR(INDEX('Team Ratings'!$Q$2:$Q$73,MATCH($D55,'Team Ratings'!$A$2:$A$73,0)),"")</f>
        <v>0</v>
      </c>
      <c r="AE55" s="59">
        <f>IFERROR(INDEX('Team Ratings'!$Q$2:$Q$73,MATCH($E55,'Team Ratings'!$A$2:$A$73,0)),"")</f>
        <v>-1</v>
      </c>
      <c r="AF55" s="56" t="s">
        <v>395</v>
      </c>
      <c r="AG55" s="56" t="s">
        <v>41</v>
      </c>
      <c r="AH55" s="56"/>
    </row>
    <row r="56" spans="1:34" ht="20" customHeight="1" x14ac:dyDescent="0.2">
      <c r="A56" s="56" t="s">
        <v>209</v>
      </c>
      <c r="B56" s="56" t="s">
        <v>211</v>
      </c>
      <c r="C56" s="56">
        <v>307</v>
      </c>
      <c r="D56" s="56" t="s">
        <v>78</v>
      </c>
      <c r="E56" s="56" t="s">
        <v>82</v>
      </c>
      <c r="F56" s="56"/>
      <c r="G56" s="56"/>
      <c r="H56" s="56" t="s">
        <v>460</v>
      </c>
      <c r="I56" s="61" t="s">
        <v>397</v>
      </c>
      <c r="J56" s="56">
        <f>IFERROR(INDEX('Team Ratings'!$B$2:$B$73,MATCH($D56,'Team Ratings'!$A$2:$A$73,0)),"")</f>
        <v>1</v>
      </c>
      <c r="K56" s="56">
        <f>IFERROR(INDEX('Team Ratings'!$B$2:$B$73,MATCH($E56,'Team Ratings'!$A$2:$A$73,0)),"")</f>
        <v>4</v>
      </c>
      <c r="L56" s="58">
        <f>IFERROR(INDEX('Team Ratings'!$D$2:$D$73,MATCH($D56,'Team Ratings'!$A$2:$A$73,0)),"")</f>
        <v>0.97989999999999999</v>
      </c>
      <c r="M56" s="58">
        <f>IFERROR(INDEX('Team Ratings'!$D$2:$D$73,MATCH($E56,'Team Ratings'!$A$2:$A$73,0)),"")</f>
        <v>0.93440000000000001</v>
      </c>
      <c r="N56" s="59">
        <f>IFERROR(INDEX('Team Ratings'!$E$2:$E$73,MATCH($D56,'Team Ratings'!$A$2:$A$73,0)),"")</f>
        <v>127.7</v>
      </c>
      <c r="O56" s="59">
        <f>IFERROR(INDEX('Team Ratings'!$E$2:$E$73,MATCH($E56,'Team Ratings'!$A$2:$A$73,0)),"")</f>
        <v>129.5</v>
      </c>
      <c r="P56" s="59">
        <f>IFERROR(INDEX('Team Ratings'!$F$2:$F$73,MATCH($D56,'Team Ratings'!$A$2:$A$73,0)),"")</f>
        <v>91</v>
      </c>
      <c r="Q56" s="59">
        <f>IFERROR(INDEX('Team Ratings'!$F$2:$F$73,MATCH($E56,'Team Ratings'!$A$2:$A$73,0)),"")</f>
        <v>102.8</v>
      </c>
      <c r="R56" s="59">
        <f>IFERROR(INDEX('Team Ratings'!$G$2:$G$73,MATCH($D56,'Team Ratings'!$A$2:$A$73,0)),"")</f>
        <v>36.700000000000003</v>
      </c>
      <c r="S56" s="59">
        <f>IFERROR(INDEX('Team Ratings'!$G$2:$G$73,MATCH($E56,'Team Ratings'!$A$2:$A$73,0)),"")</f>
        <v>26.7</v>
      </c>
      <c r="T56" s="59">
        <f>IFERROR(INDEX('Team Ratings'!$H$2:$H$73,MATCH($D56,'Team Ratings'!$A$2:$A$73,0)),"")</f>
        <v>58.1</v>
      </c>
      <c r="U56" s="59">
        <f>IFERROR(INDEX('Team Ratings'!$H$2:$H$73,MATCH($E56,'Team Ratings'!$A$2:$A$73,0)),"")</f>
        <v>55.4</v>
      </c>
      <c r="V56" s="59">
        <f>IFERROR(INDEX('Team Ratings'!$K$2:$K$73,MATCH($D56,'Team Ratings'!$A$2:$A$73,0)),"")</f>
        <v>15.5</v>
      </c>
      <c r="W56" s="59">
        <f>IFERROR(INDEX('Team Ratings'!$K$2:$K$73,MATCH($E56,'Team Ratings'!$A$2:$A$73,0)),"")</f>
        <v>12.6</v>
      </c>
      <c r="X56" s="59">
        <f>IFERROR(INDEX('Team Ratings'!$L$2:$L$73,MATCH($D56,'Team Ratings'!$A$2:$A$73,0)),"")</f>
        <v>35.4</v>
      </c>
      <c r="Y56" s="59">
        <f>IFERROR(INDEX('Team Ratings'!$L$2:$L$73,MATCH($E56,'Team Ratings'!$A$2:$A$73,0)),"")</f>
        <v>31.8</v>
      </c>
      <c r="Z56" s="59">
        <f>IFERROR(INDEX('Team Ratings'!$M$2:$M$73,MATCH($D56,'Team Ratings'!$A$2:$A$73,0)),"")</f>
        <v>27.7</v>
      </c>
      <c r="AA56" s="59">
        <f>IFERROR(INDEX('Team Ratings'!$M$2:$M$73,MATCH($E56,'Team Ratings'!$A$2:$A$73,0)),"")</f>
        <v>32.799999999999997</v>
      </c>
      <c r="AB56" s="59">
        <f>IFERROR(INDEX('Team Ratings'!$O$2:$O$73,MATCH($D56,'Team Ratings'!$A$2:$A$73,0)),"")</f>
        <v>36</v>
      </c>
      <c r="AC56" s="59">
        <f>IFERROR(INDEX('Team Ratings'!$O$2:$O$73,MATCH($E56,'Team Ratings'!$A$2:$A$73,0)),"")</f>
        <v>35.799999999999997</v>
      </c>
      <c r="AD56" s="59">
        <f>IFERROR(INDEX('Team Ratings'!$Q$2:$Q$73,MATCH($D56,'Team Ratings'!$A$2:$A$73,0)),"")</f>
        <v>-2</v>
      </c>
      <c r="AE56" s="59">
        <f>IFERROR(INDEX('Team Ratings'!$Q$2:$Q$73,MATCH($E56,'Team Ratings'!$A$2:$A$73,0)),"")</f>
        <v>0</v>
      </c>
      <c r="AF56" s="56" t="s">
        <v>395</v>
      </c>
      <c r="AG56" s="56" t="s">
        <v>82</v>
      </c>
      <c r="AH56" s="56"/>
    </row>
    <row r="57" spans="1:34" ht="20" customHeight="1" x14ac:dyDescent="0.2">
      <c r="A57" s="56" t="s">
        <v>210</v>
      </c>
      <c r="B57" s="56" t="s">
        <v>211</v>
      </c>
      <c r="C57" s="56">
        <v>308</v>
      </c>
      <c r="D57" s="56" t="s">
        <v>84</v>
      </c>
      <c r="E57" s="56" t="s">
        <v>80</v>
      </c>
      <c r="F57" s="56"/>
      <c r="G57" s="56"/>
      <c r="H57" s="56" t="s">
        <v>461</v>
      </c>
      <c r="I57" s="61" t="s">
        <v>397</v>
      </c>
      <c r="J57" s="56">
        <f>IFERROR(INDEX('Team Ratings'!$B$2:$B$73,MATCH($D57,'Team Ratings'!$A$2:$A$73,0)),"")</f>
        <v>6</v>
      </c>
      <c r="K57" s="56">
        <f>IFERROR(INDEX('Team Ratings'!$B$2:$B$73,MATCH($E57,'Team Ratings'!$A$2:$A$73,0)),"")</f>
        <v>2</v>
      </c>
      <c r="L57" s="58">
        <f>IFERROR(INDEX('Team Ratings'!$D$2:$D$73,MATCH($D57,'Team Ratings'!$A$2:$A$73,0)),"")</f>
        <v>0.94079999999999997</v>
      </c>
      <c r="M57" s="58">
        <f>IFERROR(INDEX('Team Ratings'!$D$2:$D$73,MATCH($E57,'Team Ratings'!$A$2:$A$73,0)),"")</f>
        <v>0.96550000000000002</v>
      </c>
      <c r="N57" s="59">
        <f>IFERROR(INDEX('Team Ratings'!$E$2:$E$73,MATCH($D57,'Team Ratings'!$A$2:$A$73,0)),"")</f>
        <v>121.5</v>
      </c>
      <c r="O57" s="59">
        <f>IFERROR(INDEX('Team Ratings'!$E$2:$E$73,MATCH($E57,'Team Ratings'!$A$2:$A$73,0)),"")</f>
        <v>123.8</v>
      </c>
      <c r="P57" s="59">
        <f>IFERROR(INDEX('Team Ratings'!$F$2:$F$73,MATCH($D57,'Team Ratings'!$A$2:$A$73,0)),"")</f>
        <v>95.5</v>
      </c>
      <c r="Q57" s="59">
        <f>IFERROR(INDEX('Team Ratings'!$F$2:$F$73,MATCH($E57,'Team Ratings'!$A$2:$A$73,0)),"")</f>
        <v>92.6</v>
      </c>
      <c r="R57" s="59">
        <f>IFERROR(INDEX('Team Ratings'!$G$2:$G$73,MATCH($D57,'Team Ratings'!$A$2:$A$73,0)),"")</f>
        <v>26</v>
      </c>
      <c r="S57" s="59">
        <f>IFERROR(INDEX('Team Ratings'!$G$2:$G$73,MATCH($E57,'Team Ratings'!$A$2:$A$73,0)),"")</f>
        <v>31.2</v>
      </c>
      <c r="T57" s="59">
        <f>IFERROR(INDEX('Team Ratings'!$H$2:$H$73,MATCH($D57,'Team Ratings'!$A$2:$A$73,0)),"")</f>
        <v>51.6</v>
      </c>
      <c r="U57" s="59">
        <f>IFERROR(INDEX('Team Ratings'!$H$2:$H$73,MATCH($E57,'Team Ratings'!$A$2:$A$73,0)),"")</f>
        <v>56.5</v>
      </c>
      <c r="V57" s="59">
        <f>IFERROR(INDEX('Team Ratings'!$K$2:$K$73,MATCH($D57,'Team Ratings'!$A$2:$A$73,0)),"")</f>
        <v>16.3</v>
      </c>
      <c r="W57" s="59">
        <f>IFERROR(INDEX('Team Ratings'!$K$2:$K$73,MATCH($E57,'Team Ratings'!$A$2:$A$73,0)),"")</f>
        <v>22.4</v>
      </c>
      <c r="X57" s="59">
        <f>IFERROR(INDEX('Team Ratings'!$L$2:$L$73,MATCH($D57,'Team Ratings'!$A$2:$A$73,0)),"")</f>
        <v>45.1</v>
      </c>
      <c r="Y57" s="59">
        <f>IFERROR(INDEX('Team Ratings'!$L$2:$L$73,MATCH($E57,'Team Ratings'!$A$2:$A$73,0)),"")</f>
        <v>35.299999999999997</v>
      </c>
      <c r="Z57" s="59">
        <f>IFERROR(INDEX('Team Ratings'!$M$2:$M$73,MATCH($D57,'Team Ratings'!$A$2:$A$73,0)),"")</f>
        <v>27.9</v>
      </c>
      <c r="AA57" s="59">
        <f>IFERROR(INDEX('Team Ratings'!$M$2:$M$73,MATCH($E57,'Team Ratings'!$A$2:$A$73,0)),"")</f>
        <v>28.1</v>
      </c>
      <c r="AB57" s="59">
        <f>IFERROR(INDEX('Team Ratings'!$O$2:$O$73,MATCH($D57,'Team Ratings'!$A$2:$A$73,0)),"")</f>
        <v>33.4</v>
      </c>
      <c r="AC57" s="59">
        <f>IFERROR(INDEX('Team Ratings'!$O$2:$O$73,MATCH($E57,'Team Ratings'!$A$2:$A$73,0)),"")</f>
        <v>38.700000000000003</v>
      </c>
      <c r="AD57" s="59">
        <f>IFERROR(INDEX('Team Ratings'!$Q$2:$Q$73,MATCH($D57,'Team Ratings'!$A$2:$A$73,0)),"")</f>
        <v>0</v>
      </c>
      <c r="AE57" s="59">
        <f>IFERROR(INDEX('Team Ratings'!$Q$2:$Q$73,MATCH($E57,'Team Ratings'!$A$2:$A$73,0)),"")</f>
        <v>0</v>
      </c>
      <c r="AF57" s="56" t="s">
        <v>395</v>
      </c>
      <c r="AG57" s="56" t="s">
        <v>80</v>
      </c>
      <c r="AH57" s="56"/>
    </row>
    <row r="58" spans="1:34" ht="20" customHeight="1" x14ac:dyDescent="0.2">
      <c r="A58" s="56" t="s">
        <v>212</v>
      </c>
      <c r="B58" s="56" t="s">
        <v>216</v>
      </c>
      <c r="C58" s="56">
        <v>401</v>
      </c>
      <c r="D58" s="56"/>
      <c r="E58" s="56"/>
      <c r="F58" s="56"/>
      <c r="G58" s="56"/>
      <c r="H58" s="56"/>
      <c r="I58" s="61" t="s">
        <v>397</v>
      </c>
      <c r="J58" s="56" t="str">
        <f>IFERROR(INDEX('Team Ratings'!$B$2:$B$73,MATCH($D58,'Team Ratings'!$A$2:$A$73,0)),"")</f>
        <v/>
      </c>
      <c r="K58" s="56" t="str">
        <f>IFERROR(INDEX('Team Ratings'!$B$2:$B$73,MATCH($E58,'Team Ratings'!$A$2:$A$73,0)),"")</f>
        <v/>
      </c>
      <c r="L58" s="58" t="str">
        <f>IFERROR(INDEX('Team Ratings'!$D$2:$D$73,MATCH($D58,'Team Ratings'!$A$2:$A$73,0)),"")</f>
        <v/>
      </c>
      <c r="M58" s="58" t="str">
        <f>IFERROR(INDEX('Team Ratings'!$D$2:$D$73,MATCH($E58,'Team Ratings'!$A$2:$A$73,0)),"")</f>
        <v/>
      </c>
      <c r="N58" s="59" t="str">
        <f>IFERROR(INDEX('Team Ratings'!$E$2:$E$73,MATCH($D58,'Team Ratings'!$A$2:$A$73,0)),"")</f>
        <v/>
      </c>
      <c r="O58" s="59" t="str">
        <f>IFERROR(INDEX('Team Ratings'!$E$2:$E$73,MATCH($E58,'Team Ratings'!$A$2:$A$73,0)),"")</f>
        <v/>
      </c>
      <c r="P58" s="59" t="str">
        <f>IFERROR(INDEX('Team Ratings'!$F$2:$F$73,MATCH($D58,'Team Ratings'!$A$2:$A$73,0)),"")</f>
        <v/>
      </c>
      <c r="Q58" s="59" t="str">
        <f>IFERROR(INDEX('Team Ratings'!$F$2:$F$73,MATCH($E58,'Team Ratings'!$A$2:$A$73,0)),"")</f>
        <v/>
      </c>
      <c r="R58" s="59" t="str">
        <f>IFERROR(INDEX('Team Ratings'!$G$2:$G$73,MATCH($D58,'Team Ratings'!$A$2:$A$73,0)),"")</f>
        <v/>
      </c>
      <c r="S58" s="59" t="str">
        <f>IFERROR(INDEX('Team Ratings'!$G$2:$G$73,MATCH($E58,'Team Ratings'!$A$2:$A$73,0)),"")</f>
        <v/>
      </c>
      <c r="T58" s="59" t="str">
        <f>IFERROR(INDEX('Team Ratings'!$H$2:$H$73,MATCH($D58,'Team Ratings'!$A$2:$A$73,0)),"")</f>
        <v/>
      </c>
      <c r="U58" s="59" t="str">
        <f>IFERROR(INDEX('Team Ratings'!$H$2:$H$73,MATCH($E58,'Team Ratings'!$A$2:$A$73,0)),"")</f>
        <v/>
      </c>
      <c r="V58" s="59" t="str">
        <f>IFERROR(INDEX('Team Ratings'!$K$2:$K$73,MATCH($D58,'Team Ratings'!$A$2:$A$73,0)),"")</f>
        <v/>
      </c>
      <c r="W58" s="59" t="str">
        <f>IFERROR(INDEX('Team Ratings'!$K$2:$K$73,MATCH($E58,'Team Ratings'!$A$2:$A$73,0)),"")</f>
        <v/>
      </c>
      <c r="X58" s="59" t="str">
        <f>IFERROR(INDEX('Team Ratings'!$L$2:$L$73,MATCH($D58,'Team Ratings'!$A$2:$A$73,0)),"")</f>
        <v/>
      </c>
      <c r="Y58" s="59" t="str">
        <f>IFERROR(INDEX('Team Ratings'!$L$2:$L$73,MATCH($E58,'Team Ratings'!$A$2:$A$73,0)),"")</f>
        <v/>
      </c>
      <c r="Z58" s="59" t="str">
        <f>IFERROR(INDEX('Team Ratings'!$M$2:$M$73,MATCH($D58,'Team Ratings'!$A$2:$A$73,0)),"")</f>
        <v/>
      </c>
      <c r="AA58" s="59" t="str">
        <f>IFERROR(INDEX('Team Ratings'!$M$2:$M$73,MATCH($E58,'Team Ratings'!$A$2:$A$73,0)),"")</f>
        <v/>
      </c>
      <c r="AB58" s="59" t="str">
        <f>IFERROR(INDEX('Team Ratings'!$O$2:$O$73,MATCH($D58,'Team Ratings'!$A$2:$A$73,0)),"")</f>
        <v/>
      </c>
      <c r="AC58" s="59" t="str">
        <f>IFERROR(INDEX('Team Ratings'!$O$2:$O$73,MATCH($E58,'Team Ratings'!$A$2:$A$73,0)),"")</f>
        <v/>
      </c>
      <c r="AD58" s="59" t="str">
        <f>IFERROR(INDEX('Team Ratings'!$Q$2:$Q$73,MATCH($D58,'Team Ratings'!$A$2:$A$73,0)),"")</f>
        <v/>
      </c>
      <c r="AE58" s="59" t="str">
        <f>IFERROR(INDEX('Team Ratings'!$Q$2:$Q$73,MATCH($E58,'Team Ratings'!$A$2:$A$73,0)),"")</f>
        <v/>
      </c>
      <c r="AF58" s="56" t="s">
        <v>395</v>
      </c>
      <c r="AG58" s="56" t="s">
        <v>29</v>
      </c>
      <c r="AH58" s="56"/>
    </row>
    <row r="59" spans="1:34" ht="20" customHeight="1" x14ac:dyDescent="0.2">
      <c r="A59" s="56" t="s">
        <v>213</v>
      </c>
      <c r="B59" s="56" t="s">
        <v>216</v>
      </c>
      <c r="C59" s="56">
        <v>402</v>
      </c>
      <c r="D59" s="56"/>
      <c r="E59" s="56"/>
      <c r="F59" s="56"/>
      <c r="G59" s="56"/>
      <c r="H59" s="56"/>
      <c r="I59" s="61" t="s">
        <v>397</v>
      </c>
      <c r="J59" s="56" t="str">
        <f>IFERROR(INDEX('Team Ratings'!$B$2:$B$73,MATCH($D59,'Team Ratings'!$A$2:$A$73,0)),"")</f>
        <v/>
      </c>
      <c r="K59" s="56" t="str">
        <f>IFERROR(INDEX('Team Ratings'!$B$2:$B$73,MATCH($E59,'Team Ratings'!$A$2:$A$73,0)),"")</f>
        <v/>
      </c>
      <c r="L59" s="58" t="str">
        <f>IFERROR(INDEX('Team Ratings'!$D$2:$D$73,MATCH($D59,'Team Ratings'!$A$2:$A$73,0)),"")</f>
        <v/>
      </c>
      <c r="M59" s="58" t="str">
        <f>IFERROR(INDEX('Team Ratings'!$D$2:$D$73,MATCH($E59,'Team Ratings'!$A$2:$A$73,0)),"")</f>
        <v/>
      </c>
      <c r="N59" s="59" t="str">
        <f>IFERROR(INDEX('Team Ratings'!$E$2:$E$73,MATCH($D59,'Team Ratings'!$A$2:$A$73,0)),"")</f>
        <v/>
      </c>
      <c r="O59" s="59" t="str">
        <f>IFERROR(INDEX('Team Ratings'!$E$2:$E$73,MATCH($E59,'Team Ratings'!$A$2:$A$73,0)),"")</f>
        <v/>
      </c>
      <c r="P59" s="59" t="str">
        <f>IFERROR(INDEX('Team Ratings'!$F$2:$F$73,MATCH($D59,'Team Ratings'!$A$2:$A$73,0)),"")</f>
        <v/>
      </c>
      <c r="Q59" s="59" t="str">
        <f>IFERROR(INDEX('Team Ratings'!$F$2:$F$73,MATCH($E59,'Team Ratings'!$A$2:$A$73,0)),"")</f>
        <v/>
      </c>
      <c r="R59" s="59" t="str">
        <f>IFERROR(INDEX('Team Ratings'!$G$2:$G$73,MATCH($D59,'Team Ratings'!$A$2:$A$73,0)),"")</f>
        <v/>
      </c>
      <c r="S59" s="59" t="str">
        <f>IFERROR(INDEX('Team Ratings'!$G$2:$G$73,MATCH($E59,'Team Ratings'!$A$2:$A$73,0)),"")</f>
        <v/>
      </c>
      <c r="T59" s="59" t="str">
        <f>IFERROR(INDEX('Team Ratings'!$H$2:$H$73,MATCH($D59,'Team Ratings'!$A$2:$A$73,0)),"")</f>
        <v/>
      </c>
      <c r="U59" s="59" t="str">
        <f>IFERROR(INDEX('Team Ratings'!$H$2:$H$73,MATCH($E59,'Team Ratings'!$A$2:$A$73,0)),"")</f>
        <v/>
      </c>
      <c r="V59" s="59" t="str">
        <f>IFERROR(INDEX('Team Ratings'!$K$2:$K$73,MATCH($D59,'Team Ratings'!$A$2:$A$73,0)),"")</f>
        <v/>
      </c>
      <c r="W59" s="59" t="str">
        <f>IFERROR(INDEX('Team Ratings'!$K$2:$K$73,MATCH($E59,'Team Ratings'!$A$2:$A$73,0)),"")</f>
        <v/>
      </c>
      <c r="X59" s="59" t="str">
        <f>IFERROR(INDEX('Team Ratings'!$L$2:$L$73,MATCH($D59,'Team Ratings'!$A$2:$A$73,0)),"")</f>
        <v/>
      </c>
      <c r="Y59" s="59" t="str">
        <f>IFERROR(INDEX('Team Ratings'!$L$2:$L$73,MATCH($E59,'Team Ratings'!$A$2:$A$73,0)),"")</f>
        <v/>
      </c>
      <c r="Z59" s="59" t="str">
        <f>IFERROR(INDEX('Team Ratings'!$M$2:$M$73,MATCH($D59,'Team Ratings'!$A$2:$A$73,0)),"")</f>
        <v/>
      </c>
      <c r="AA59" s="59" t="str">
        <f>IFERROR(INDEX('Team Ratings'!$M$2:$M$73,MATCH($E59,'Team Ratings'!$A$2:$A$73,0)),"")</f>
        <v/>
      </c>
      <c r="AB59" s="59" t="str">
        <f>IFERROR(INDEX('Team Ratings'!$O$2:$O$73,MATCH($D59,'Team Ratings'!$A$2:$A$73,0)),"")</f>
        <v/>
      </c>
      <c r="AC59" s="59" t="str">
        <f>IFERROR(INDEX('Team Ratings'!$O$2:$O$73,MATCH($E59,'Team Ratings'!$A$2:$A$73,0)),"")</f>
        <v/>
      </c>
      <c r="AD59" s="59" t="str">
        <f>IFERROR(INDEX('Team Ratings'!$Q$2:$Q$73,MATCH($D59,'Team Ratings'!$A$2:$A$73,0)),"")</f>
        <v/>
      </c>
      <c r="AE59" s="59" t="str">
        <f>IFERROR(INDEX('Team Ratings'!$Q$2:$Q$73,MATCH($E59,'Team Ratings'!$A$2:$A$73,0)),"")</f>
        <v/>
      </c>
      <c r="AF59" s="56" t="s">
        <v>395</v>
      </c>
      <c r="AG59" s="56" t="s">
        <v>39</v>
      </c>
      <c r="AH59" s="56"/>
    </row>
    <row r="60" spans="1:34" ht="20" customHeight="1" x14ac:dyDescent="0.2">
      <c r="A60" s="56" t="s">
        <v>214</v>
      </c>
      <c r="B60" s="56" t="s">
        <v>216</v>
      </c>
      <c r="C60" s="56">
        <v>403</v>
      </c>
      <c r="D60" s="56"/>
      <c r="E60" s="56"/>
      <c r="F60" s="56"/>
      <c r="G60" s="56"/>
      <c r="H60" s="56"/>
      <c r="I60" s="61" t="s">
        <v>397</v>
      </c>
      <c r="J60" s="56" t="str">
        <f>IFERROR(INDEX('Team Ratings'!$B$2:$B$73,MATCH($D60,'Team Ratings'!$A$2:$A$73,0)),"")</f>
        <v/>
      </c>
      <c r="K60" s="56" t="str">
        <f>IFERROR(INDEX('Team Ratings'!$B$2:$B$73,MATCH($E60,'Team Ratings'!$A$2:$A$73,0)),"")</f>
        <v/>
      </c>
      <c r="L60" s="58" t="str">
        <f>IFERROR(INDEX('Team Ratings'!$D$2:$D$73,MATCH($D60,'Team Ratings'!$A$2:$A$73,0)),"")</f>
        <v/>
      </c>
      <c r="M60" s="58" t="str">
        <f>IFERROR(INDEX('Team Ratings'!$D$2:$D$73,MATCH($E60,'Team Ratings'!$A$2:$A$73,0)),"")</f>
        <v/>
      </c>
      <c r="N60" s="59" t="str">
        <f>IFERROR(INDEX('Team Ratings'!$E$2:$E$73,MATCH($D60,'Team Ratings'!$A$2:$A$73,0)),"")</f>
        <v/>
      </c>
      <c r="O60" s="59" t="str">
        <f>IFERROR(INDEX('Team Ratings'!$E$2:$E$73,MATCH($E60,'Team Ratings'!$A$2:$A$73,0)),"")</f>
        <v/>
      </c>
      <c r="P60" s="59" t="str">
        <f>IFERROR(INDEX('Team Ratings'!$F$2:$F$73,MATCH($D60,'Team Ratings'!$A$2:$A$73,0)),"")</f>
        <v/>
      </c>
      <c r="Q60" s="59" t="str">
        <f>IFERROR(INDEX('Team Ratings'!$F$2:$F$73,MATCH($E60,'Team Ratings'!$A$2:$A$73,0)),"")</f>
        <v/>
      </c>
      <c r="R60" s="59" t="str">
        <f>IFERROR(INDEX('Team Ratings'!$G$2:$G$73,MATCH($D60,'Team Ratings'!$A$2:$A$73,0)),"")</f>
        <v/>
      </c>
      <c r="S60" s="59" t="str">
        <f>IFERROR(INDEX('Team Ratings'!$G$2:$G$73,MATCH($E60,'Team Ratings'!$A$2:$A$73,0)),"")</f>
        <v/>
      </c>
      <c r="T60" s="59" t="str">
        <f>IFERROR(INDEX('Team Ratings'!$H$2:$H$73,MATCH($D60,'Team Ratings'!$A$2:$A$73,0)),"")</f>
        <v/>
      </c>
      <c r="U60" s="59" t="str">
        <f>IFERROR(INDEX('Team Ratings'!$H$2:$H$73,MATCH($E60,'Team Ratings'!$A$2:$A$73,0)),"")</f>
        <v/>
      </c>
      <c r="V60" s="59" t="str">
        <f>IFERROR(INDEX('Team Ratings'!$K$2:$K$73,MATCH($D60,'Team Ratings'!$A$2:$A$73,0)),"")</f>
        <v/>
      </c>
      <c r="W60" s="59" t="str">
        <f>IFERROR(INDEX('Team Ratings'!$K$2:$K$73,MATCH($E60,'Team Ratings'!$A$2:$A$73,0)),"")</f>
        <v/>
      </c>
      <c r="X60" s="59" t="str">
        <f>IFERROR(INDEX('Team Ratings'!$L$2:$L$73,MATCH($D60,'Team Ratings'!$A$2:$A$73,0)),"")</f>
        <v/>
      </c>
      <c r="Y60" s="59" t="str">
        <f>IFERROR(INDEX('Team Ratings'!$L$2:$L$73,MATCH($E60,'Team Ratings'!$A$2:$A$73,0)),"")</f>
        <v/>
      </c>
      <c r="Z60" s="59" t="str">
        <f>IFERROR(INDEX('Team Ratings'!$M$2:$M$73,MATCH($D60,'Team Ratings'!$A$2:$A$73,0)),"")</f>
        <v/>
      </c>
      <c r="AA60" s="59" t="str">
        <f>IFERROR(INDEX('Team Ratings'!$M$2:$M$73,MATCH($E60,'Team Ratings'!$A$2:$A$73,0)),"")</f>
        <v/>
      </c>
      <c r="AB60" s="59" t="str">
        <f>IFERROR(INDEX('Team Ratings'!$O$2:$O$73,MATCH($D60,'Team Ratings'!$A$2:$A$73,0)),"")</f>
        <v/>
      </c>
      <c r="AC60" s="59" t="str">
        <f>IFERROR(INDEX('Team Ratings'!$O$2:$O$73,MATCH($E60,'Team Ratings'!$A$2:$A$73,0)),"")</f>
        <v/>
      </c>
      <c r="AD60" s="59" t="str">
        <f>IFERROR(INDEX('Team Ratings'!$Q$2:$Q$73,MATCH($D60,'Team Ratings'!$A$2:$A$73,0)),"")</f>
        <v/>
      </c>
      <c r="AE60" s="59" t="str">
        <f>IFERROR(INDEX('Team Ratings'!$Q$2:$Q$73,MATCH($E60,'Team Ratings'!$A$2:$A$73,0)),"")</f>
        <v/>
      </c>
      <c r="AF60" s="56" t="s">
        <v>395</v>
      </c>
      <c r="AG60" s="56" t="s">
        <v>64</v>
      </c>
      <c r="AH60" s="56"/>
    </row>
    <row r="61" spans="1:34" ht="20" customHeight="1" x14ac:dyDescent="0.2">
      <c r="A61" s="56" t="s">
        <v>215</v>
      </c>
      <c r="B61" s="56" t="s">
        <v>216</v>
      </c>
      <c r="C61" s="56">
        <v>404</v>
      </c>
      <c r="D61" s="56"/>
      <c r="E61" s="56"/>
      <c r="F61" s="56"/>
      <c r="G61" s="56"/>
      <c r="H61" s="56"/>
      <c r="I61" s="61" t="s">
        <v>397</v>
      </c>
      <c r="J61" s="56" t="str">
        <f>IFERROR(INDEX('Team Ratings'!$B$2:$B$73,MATCH($D61,'Team Ratings'!$A$2:$A$73,0)),"")</f>
        <v/>
      </c>
      <c r="K61" s="56" t="str">
        <f>IFERROR(INDEX('Team Ratings'!$B$2:$B$73,MATCH($E61,'Team Ratings'!$A$2:$A$73,0)),"")</f>
        <v/>
      </c>
      <c r="L61" s="58" t="str">
        <f>IFERROR(INDEX('Team Ratings'!$D$2:$D$73,MATCH($D61,'Team Ratings'!$A$2:$A$73,0)),"")</f>
        <v/>
      </c>
      <c r="M61" s="58" t="str">
        <f>IFERROR(INDEX('Team Ratings'!$D$2:$D$73,MATCH($E61,'Team Ratings'!$A$2:$A$73,0)),"")</f>
        <v/>
      </c>
      <c r="N61" s="59" t="str">
        <f>IFERROR(INDEX('Team Ratings'!$E$2:$E$73,MATCH($D61,'Team Ratings'!$A$2:$A$73,0)),"")</f>
        <v/>
      </c>
      <c r="O61" s="59" t="str">
        <f>IFERROR(INDEX('Team Ratings'!$E$2:$E$73,MATCH($E61,'Team Ratings'!$A$2:$A$73,0)),"")</f>
        <v/>
      </c>
      <c r="P61" s="59" t="str">
        <f>IFERROR(INDEX('Team Ratings'!$F$2:$F$73,MATCH($D61,'Team Ratings'!$A$2:$A$73,0)),"")</f>
        <v/>
      </c>
      <c r="Q61" s="59" t="str">
        <f>IFERROR(INDEX('Team Ratings'!$F$2:$F$73,MATCH($E61,'Team Ratings'!$A$2:$A$73,0)),"")</f>
        <v/>
      </c>
      <c r="R61" s="59" t="str">
        <f>IFERROR(INDEX('Team Ratings'!$G$2:$G$73,MATCH($D61,'Team Ratings'!$A$2:$A$73,0)),"")</f>
        <v/>
      </c>
      <c r="S61" s="59" t="str">
        <f>IFERROR(INDEX('Team Ratings'!$G$2:$G$73,MATCH($E61,'Team Ratings'!$A$2:$A$73,0)),"")</f>
        <v/>
      </c>
      <c r="T61" s="59" t="str">
        <f>IFERROR(INDEX('Team Ratings'!$H$2:$H$73,MATCH($D61,'Team Ratings'!$A$2:$A$73,0)),"")</f>
        <v/>
      </c>
      <c r="U61" s="59" t="str">
        <f>IFERROR(INDEX('Team Ratings'!$H$2:$H$73,MATCH($E61,'Team Ratings'!$A$2:$A$73,0)),"")</f>
        <v/>
      </c>
      <c r="V61" s="59" t="str">
        <f>IFERROR(INDEX('Team Ratings'!$K$2:$K$73,MATCH($D61,'Team Ratings'!$A$2:$A$73,0)),"")</f>
        <v/>
      </c>
      <c r="W61" s="59" t="str">
        <f>IFERROR(INDEX('Team Ratings'!$K$2:$K$73,MATCH($E61,'Team Ratings'!$A$2:$A$73,0)),"")</f>
        <v/>
      </c>
      <c r="X61" s="59" t="str">
        <f>IFERROR(INDEX('Team Ratings'!$L$2:$L$73,MATCH($D61,'Team Ratings'!$A$2:$A$73,0)),"")</f>
        <v/>
      </c>
      <c r="Y61" s="59" t="str">
        <f>IFERROR(INDEX('Team Ratings'!$L$2:$L$73,MATCH($E61,'Team Ratings'!$A$2:$A$73,0)),"")</f>
        <v/>
      </c>
      <c r="Z61" s="59" t="str">
        <f>IFERROR(INDEX('Team Ratings'!$M$2:$M$73,MATCH($D61,'Team Ratings'!$A$2:$A$73,0)),"")</f>
        <v/>
      </c>
      <c r="AA61" s="59" t="str">
        <f>IFERROR(INDEX('Team Ratings'!$M$2:$M$73,MATCH($E61,'Team Ratings'!$A$2:$A$73,0)),"")</f>
        <v/>
      </c>
      <c r="AB61" s="59" t="str">
        <f>IFERROR(INDEX('Team Ratings'!$O$2:$O$73,MATCH($D61,'Team Ratings'!$A$2:$A$73,0)),"")</f>
        <v/>
      </c>
      <c r="AC61" s="59" t="str">
        <f>IFERROR(INDEX('Team Ratings'!$O$2:$O$73,MATCH($E61,'Team Ratings'!$A$2:$A$73,0)),"")</f>
        <v/>
      </c>
      <c r="AD61" s="59" t="str">
        <f>IFERROR(INDEX('Team Ratings'!$Q$2:$Q$73,MATCH($D61,'Team Ratings'!$A$2:$A$73,0)),"")</f>
        <v/>
      </c>
      <c r="AE61" s="59" t="str">
        <f>IFERROR(INDEX('Team Ratings'!$Q$2:$Q$73,MATCH($E61,'Team Ratings'!$A$2:$A$73,0)),"")</f>
        <v/>
      </c>
      <c r="AF61" s="56" t="s">
        <v>395</v>
      </c>
      <c r="AG61" s="56" t="s">
        <v>80</v>
      </c>
      <c r="AH61" s="56"/>
    </row>
    <row r="62" spans="1:34" ht="20" customHeight="1" x14ac:dyDescent="0.2">
      <c r="A62" s="56" t="s">
        <v>217</v>
      </c>
      <c r="B62" s="56" t="s">
        <v>219</v>
      </c>
      <c r="C62" s="56">
        <v>501</v>
      </c>
      <c r="D62" s="56"/>
      <c r="E62" s="56"/>
      <c r="F62" s="56"/>
      <c r="G62" s="56"/>
      <c r="H62" s="56"/>
      <c r="I62" s="61" t="s">
        <v>397</v>
      </c>
      <c r="J62" s="56" t="str">
        <f>IFERROR(INDEX('Team Ratings'!$B$2:$B$73,MATCH($D62,'Team Ratings'!$A$2:$A$73,0)),"")</f>
        <v/>
      </c>
      <c r="K62" s="56" t="str">
        <f>IFERROR(INDEX('Team Ratings'!$B$2:$B$73,MATCH($E62,'Team Ratings'!$A$2:$A$73,0)),"")</f>
        <v/>
      </c>
      <c r="L62" s="58" t="str">
        <f>IFERROR(INDEX('Team Ratings'!$D$2:$D$73,MATCH($D62,'Team Ratings'!$A$2:$A$73,0)),"")</f>
        <v/>
      </c>
      <c r="M62" s="58" t="str">
        <f>IFERROR(INDEX('Team Ratings'!$D$2:$D$73,MATCH($E62,'Team Ratings'!$A$2:$A$73,0)),"")</f>
        <v/>
      </c>
      <c r="N62" s="59" t="str">
        <f>IFERROR(INDEX('Team Ratings'!$E$2:$E$73,MATCH($D62,'Team Ratings'!$A$2:$A$73,0)),"")</f>
        <v/>
      </c>
      <c r="O62" s="59" t="str">
        <f>IFERROR(INDEX('Team Ratings'!$E$2:$E$73,MATCH($E62,'Team Ratings'!$A$2:$A$73,0)),"")</f>
        <v/>
      </c>
      <c r="P62" s="59" t="str">
        <f>IFERROR(INDEX('Team Ratings'!$F$2:$F$73,MATCH($D62,'Team Ratings'!$A$2:$A$73,0)),"")</f>
        <v/>
      </c>
      <c r="Q62" s="59" t="str">
        <f>IFERROR(INDEX('Team Ratings'!$F$2:$F$73,MATCH($E62,'Team Ratings'!$A$2:$A$73,0)),"")</f>
        <v/>
      </c>
      <c r="R62" s="59" t="str">
        <f>IFERROR(INDEX('Team Ratings'!$G$2:$G$73,MATCH($D62,'Team Ratings'!$A$2:$A$73,0)),"")</f>
        <v/>
      </c>
      <c r="S62" s="59" t="str">
        <f>IFERROR(INDEX('Team Ratings'!$G$2:$G$73,MATCH($E62,'Team Ratings'!$A$2:$A$73,0)),"")</f>
        <v/>
      </c>
      <c r="T62" s="59" t="str">
        <f>IFERROR(INDEX('Team Ratings'!$H$2:$H$73,MATCH($D62,'Team Ratings'!$A$2:$A$73,0)),"")</f>
        <v/>
      </c>
      <c r="U62" s="59" t="str">
        <f>IFERROR(INDEX('Team Ratings'!$H$2:$H$73,MATCH($E62,'Team Ratings'!$A$2:$A$73,0)),"")</f>
        <v/>
      </c>
      <c r="V62" s="59" t="str">
        <f>IFERROR(INDEX('Team Ratings'!$K$2:$K$73,MATCH($D62,'Team Ratings'!$A$2:$A$73,0)),"")</f>
        <v/>
      </c>
      <c r="W62" s="59" t="str">
        <f>IFERROR(INDEX('Team Ratings'!$K$2:$K$73,MATCH($E62,'Team Ratings'!$A$2:$A$73,0)),"")</f>
        <v/>
      </c>
      <c r="X62" s="59" t="str">
        <f>IFERROR(INDEX('Team Ratings'!$L$2:$L$73,MATCH($D62,'Team Ratings'!$A$2:$A$73,0)),"")</f>
        <v/>
      </c>
      <c r="Y62" s="59" t="str">
        <f>IFERROR(INDEX('Team Ratings'!$L$2:$L$73,MATCH($E62,'Team Ratings'!$A$2:$A$73,0)),"")</f>
        <v/>
      </c>
      <c r="Z62" s="59" t="str">
        <f>IFERROR(INDEX('Team Ratings'!$M$2:$M$73,MATCH($D62,'Team Ratings'!$A$2:$A$73,0)),"")</f>
        <v/>
      </c>
      <c r="AA62" s="59" t="str">
        <f>IFERROR(INDEX('Team Ratings'!$M$2:$M$73,MATCH($E62,'Team Ratings'!$A$2:$A$73,0)),"")</f>
        <v/>
      </c>
      <c r="AB62" s="59" t="str">
        <f>IFERROR(INDEX('Team Ratings'!$O$2:$O$73,MATCH($D62,'Team Ratings'!$A$2:$A$73,0)),"")</f>
        <v/>
      </c>
      <c r="AC62" s="59" t="str">
        <f>IFERROR(INDEX('Team Ratings'!$O$2:$O$73,MATCH($E62,'Team Ratings'!$A$2:$A$73,0)),"")</f>
        <v/>
      </c>
      <c r="AD62" s="59" t="str">
        <f>IFERROR(INDEX('Team Ratings'!$Q$2:$Q$73,MATCH($D62,'Team Ratings'!$A$2:$A$73,0)),"")</f>
        <v/>
      </c>
      <c r="AE62" s="59" t="str">
        <f>IFERROR(INDEX('Team Ratings'!$Q$2:$Q$73,MATCH($E62,'Team Ratings'!$A$2:$A$73,0)),"")</f>
        <v/>
      </c>
      <c r="AF62" s="56" t="s">
        <v>395</v>
      </c>
      <c r="AG62" s="56" t="s">
        <v>29</v>
      </c>
      <c r="AH62" s="56"/>
    </row>
    <row r="63" spans="1:34" ht="20" customHeight="1" x14ac:dyDescent="0.2">
      <c r="A63" s="56" t="s">
        <v>218</v>
      </c>
      <c r="B63" s="56" t="s">
        <v>219</v>
      </c>
      <c r="C63" s="56">
        <v>502</v>
      </c>
      <c r="D63" s="56"/>
      <c r="E63" s="56"/>
      <c r="F63" s="56"/>
      <c r="G63" s="56"/>
      <c r="H63" s="56"/>
      <c r="I63" s="61" t="s">
        <v>397</v>
      </c>
      <c r="J63" s="56" t="str">
        <f>IFERROR(INDEX('Team Ratings'!$B$2:$B$73,MATCH($D63,'Team Ratings'!$A$2:$A$73,0)),"")</f>
        <v/>
      </c>
      <c r="K63" s="56" t="str">
        <f>IFERROR(INDEX('Team Ratings'!$B$2:$B$73,MATCH($E63,'Team Ratings'!$A$2:$A$73,0)),"")</f>
        <v/>
      </c>
      <c r="L63" s="58" t="str">
        <f>IFERROR(INDEX('Team Ratings'!$D$2:$D$73,MATCH($D63,'Team Ratings'!$A$2:$A$73,0)),"")</f>
        <v/>
      </c>
      <c r="M63" s="58" t="str">
        <f>IFERROR(INDEX('Team Ratings'!$D$2:$D$73,MATCH($E63,'Team Ratings'!$A$2:$A$73,0)),"")</f>
        <v/>
      </c>
      <c r="N63" s="59" t="str">
        <f>IFERROR(INDEX('Team Ratings'!$E$2:$E$73,MATCH($D63,'Team Ratings'!$A$2:$A$73,0)),"")</f>
        <v/>
      </c>
      <c r="O63" s="59" t="str">
        <f>IFERROR(INDEX('Team Ratings'!$E$2:$E$73,MATCH($E63,'Team Ratings'!$A$2:$A$73,0)),"")</f>
        <v/>
      </c>
      <c r="P63" s="59" t="str">
        <f>IFERROR(INDEX('Team Ratings'!$F$2:$F$73,MATCH($D63,'Team Ratings'!$A$2:$A$73,0)),"")</f>
        <v/>
      </c>
      <c r="Q63" s="59" t="str">
        <f>IFERROR(INDEX('Team Ratings'!$F$2:$F$73,MATCH($E63,'Team Ratings'!$A$2:$A$73,0)),"")</f>
        <v/>
      </c>
      <c r="R63" s="59" t="str">
        <f>IFERROR(INDEX('Team Ratings'!$G$2:$G$73,MATCH($D63,'Team Ratings'!$A$2:$A$73,0)),"")</f>
        <v/>
      </c>
      <c r="S63" s="59" t="str">
        <f>IFERROR(INDEX('Team Ratings'!$G$2:$G$73,MATCH($E63,'Team Ratings'!$A$2:$A$73,0)),"")</f>
        <v/>
      </c>
      <c r="T63" s="59" t="str">
        <f>IFERROR(INDEX('Team Ratings'!$H$2:$H$73,MATCH($D63,'Team Ratings'!$A$2:$A$73,0)),"")</f>
        <v/>
      </c>
      <c r="U63" s="59" t="str">
        <f>IFERROR(INDEX('Team Ratings'!$H$2:$H$73,MATCH($E63,'Team Ratings'!$A$2:$A$73,0)),"")</f>
        <v/>
      </c>
      <c r="V63" s="59" t="str">
        <f>IFERROR(INDEX('Team Ratings'!$K$2:$K$73,MATCH($D63,'Team Ratings'!$A$2:$A$73,0)),"")</f>
        <v/>
      </c>
      <c r="W63" s="59" t="str">
        <f>IFERROR(INDEX('Team Ratings'!$K$2:$K$73,MATCH($E63,'Team Ratings'!$A$2:$A$73,0)),"")</f>
        <v/>
      </c>
      <c r="X63" s="59" t="str">
        <f>IFERROR(INDEX('Team Ratings'!$L$2:$L$73,MATCH($D63,'Team Ratings'!$A$2:$A$73,0)),"")</f>
        <v/>
      </c>
      <c r="Y63" s="59" t="str">
        <f>IFERROR(INDEX('Team Ratings'!$L$2:$L$73,MATCH($E63,'Team Ratings'!$A$2:$A$73,0)),"")</f>
        <v/>
      </c>
      <c r="Z63" s="59" t="str">
        <f>IFERROR(INDEX('Team Ratings'!$M$2:$M$73,MATCH($D63,'Team Ratings'!$A$2:$A$73,0)),"")</f>
        <v/>
      </c>
      <c r="AA63" s="59" t="str">
        <f>IFERROR(INDEX('Team Ratings'!$M$2:$M$73,MATCH($E63,'Team Ratings'!$A$2:$A$73,0)),"")</f>
        <v/>
      </c>
      <c r="AB63" s="59" t="str">
        <f>IFERROR(INDEX('Team Ratings'!$O$2:$O$73,MATCH($D63,'Team Ratings'!$A$2:$A$73,0)),"")</f>
        <v/>
      </c>
      <c r="AC63" s="59" t="str">
        <f>IFERROR(INDEX('Team Ratings'!$O$2:$O$73,MATCH($E63,'Team Ratings'!$A$2:$A$73,0)),"")</f>
        <v/>
      </c>
      <c r="AD63" s="59" t="str">
        <f>IFERROR(INDEX('Team Ratings'!$Q$2:$Q$73,MATCH($D63,'Team Ratings'!$A$2:$A$73,0)),"")</f>
        <v/>
      </c>
      <c r="AE63" s="59" t="str">
        <f>IFERROR(INDEX('Team Ratings'!$Q$2:$Q$73,MATCH($E63,'Team Ratings'!$A$2:$A$73,0)),"")</f>
        <v/>
      </c>
      <c r="AF63" s="56" t="s">
        <v>395</v>
      </c>
      <c r="AG63" s="56" t="s">
        <v>80</v>
      </c>
      <c r="AH63" s="56"/>
    </row>
    <row r="64" spans="1:34" ht="20" customHeight="1" x14ac:dyDescent="0.2">
      <c r="A64" s="56" t="s">
        <v>221</v>
      </c>
      <c r="B64" s="56" t="s">
        <v>223</v>
      </c>
      <c r="C64" s="56">
        <v>601</v>
      </c>
      <c r="D64" s="56"/>
      <c r="E64" s="56"/>
      <c r="F64" s="56"/>
      <c r="G64" s="56"/>
      <c r="H64" s="56"/>
      <c r="I64" s="61" t="s">
        <v>397</v>
      </c>
      <c r="J64" s="56" t="str">
        <f>IFERROR(INDEX('Team Ratings'!$B$2:$B$73,MATCH($D64,'Team Ratings'!$A$2:$A$73,0)),"")</f>
        <v/>
      </c>
      <c r="K64" s="56" t="str">
        <f>IFERROR(INDEX('Team Ratings'!$B$2:$B$73,MATCH($E64,'Team Ratings'!$A$2:$A$73,0)),"")</f>
        <v/>
      </c>
      <c r="L64" s="58" t="str">
        <f>IFERROR(INDEX('Team Ratings'!$D$2:$D$73,MATCH($D64,'Team Ratings'!$A$2:$A$73,0)),"")</f>
        <v/>
      </c>
      <c r="M64" s="58" t="str">
        <f>IFERROR(INDEX('Team Ratings'!$D$2:$D$73,MATCH($E64,'Team Ratings'!$A$2:$A$73,0)),"")</f>
        <v/>
      </c>
      <c r="N64" s="59" t="str">
        <f>IFERROR(INDEX('Team Ratings'!$E$2:$E$73,MATCH($D64,'Team Ratings'!$A$2:$A$73,0)),"")</f>
        <v/>
      </c>
      <c r="O64" s="59" t="str">
        <f>IFERROR(INDEX('Team Ratings'!$E$2:$E$73,MATCH($E64,'Team Ratings'!$A$2:$A$73,0)),"")</f>
        <v/>
      </c>
      <c r="P64" s="59" t="str">
        <f>IFERROR(INDEX('Team Ratings'!$F$2:$F$73,MATCH($D64,'Team Ratings'!$A$2:$A$73,0)),"")</f>
        <v/>
      </c>
      <c r="Q64" s="59" t="str">
        <f>IFERROR(INDEX('Team Ratings'!$F$2:$F$73,MATCH($E64,'Team Ratings'!$A$2:$A$73,0)),"")</f>
        <v/>
      </c>
      <c r="R64" s="59" t="str">
        <f>IFERROR(INDEX('Team Ratings'!$G$2:$G$73,MATCH($D64,'Team Ratings'!$A$2:$A$73,0)),"")</f>
        <v/>
      </c>
      <c r="S64" s="59" t="str">
        <f>IFERROR(INDEX('Team Ratings'!$G$2:$G$73,MATCH($E64,'Team Ratings'!$A$2:$A$73,0)),"")</f>
        <v/>
      </c>
      <c r="T64" s="59" t="str">
        <f>IFERROR(INDEX('Team Ratings'!$H$2:$H$73,MATCH($D64,'Team Ratings'!$A$2:$A$73,0)),"")</f>
        <v/>
      </c>
      <c r="U64" s="59" t="str">
        <f>IFERROR(INDEX('Team Ratings'!$H$2:$H$73,MATCH($E64,'Team Ratings'!$A$2:$A$73,0)),"")</f>
        <v/>
      </c>
      <c r="V64" s="59" t="str">
        <f>IFERROR(INDEX('Team Ratings'!$K$2:$K$73,MATCH($D64,'Team Ratings'!$A$2:$A$73,0)),"")</f>
        <v/>
      </c>
      <c r="W64" s="59" t="str">
        <f>IFERROR(INDEX('Team Ratings'!$K$2:$K$73,MATCH($E64,'Team Ratings'!$A$2:$A$73,0)),"")</f>
        <v/>
      </c>
      <c r="X64" s="59" t="str">
        <f>IFERROR(INDEX('Team Ratings'!$L$2:$L$73,MATCH($D64,'Team Ratings'!$A$2:$A$73,0)),"")</f>
        <v/>
      </c>
      <c r="Y64" s="59" t="str">
        <f>IFERROR(INDEX('Team Ratings'!$L$2:$L$73,MATCH($E64,'Team Ratings'!$A$2:$A$73,0)),"")</f>
        <v/>
      </c>
      <c r="Z64" s="59" t="str">
        <f>IFERROR(INDEX('Team Ratings'!$M$2:$M$73,MATCH($D64,'Team Ratings'!$A$2:$A$73,0)),"")</f>
        <v/>
      </c>
      <c r="AA64" s="59" t="str">
        <f>IFERROR(INDEX('Team Ratings'!$M$2:$M$73,MATCH($E64,'Team Ratings'!$A$2:$A$73,0)),"")</f>
        <v/>
      </c>
      <c r="AB64" s="59" t="str">
        <f>IFERROR(INDEX('Team Ratings'!$O$2:$O$73,MATCH($D64,'Team Ratings'!$A$2:$A$73,0)),"")</f>
        <v/>
      </c>
      <c r="AC64" s="59" t="str">
        <f>IFERROR(INDEX('Team Ratings'!$O$2:$O$73,MATCH($E64,'Team Ratings'!$A$2:$A$73,0)),"")</f>
        <v/>
      </c>
      <c r="AD64" s="59" t="str">
        <f>IFERROR(INDEX('Team Ratings'!$Q$2:$Q$73,MATCH($D64,'Team Ratings'!$A$2:$A$73,0)),"")</f>
        <v/>
      </c>
      <c r="AE64" s="59" t="str">
        <f>IFERROR(INDEX('Team Ratings'!$Q$2:$Q$73,MATCH($E64,'Team Ratings'!$A$2:$A$73,0)),"")</f>
        <v/>
      </c>
      <c r="AF64" s="56" t="s">
        <v>395</v>
      </c>
      <c r="AG64" s="56" t="s">
        <v>80</v>
      </c>
      <c r="AH64" s="56"/>
    </row>
    <row r="66" spans="1:8" ht="20" customHeight="1" x14ac:dyDescent="0.2">
      <c r="A66" s="2" t="s">
        <v>462</v>
      </c>
      <c r="B66" s="2"/>
      <c r="C66" s="2"/>
      <c r="D66" s="2"/>
      <c r="E66" s="2"/>
      <c r="F66" s="2"/>
      <c r="G66" s="2"/>
      <c r="H66" s="2"/>
    </row>
  </sheetData>
  <mergeCells count="1">
    <mergeCell ref="A66:H6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tabSelected="1" zoomScaleNormal="100" workbookViewId="0">
      <pane ySplit="3" topLeftCell="A4" activePane="bottomLeft" state="frozen"/>
      <selection pane="bottomLeft" activeCell="H17" sqref="H17"/>
    </sheetView>
  </sheetViews>
  <sheetFormatPr baseColWidth="10" defaultColWidth="8.796875" defaultRowHeight="20" customHeight="1" x14ac:dyDescent="0.2"/>
  <cols>
    <col min="1" max="1" width="20" customWidth="1"/>
    <col min="2" max="4" width="12" customWidth="1"/>
    <col min="5" max="5" width="48" customWidth="1"/>
    <col min="6" max="6" width="27.59765625" bestFit="1" customWidth="1"/>
    <col min="8" max="8" width="18" customWidth="1"/>
    <col min="9" max="9" width="28" customWidth="1"/>
    <col min="10" max="11" width="12" customWidth="1"/>
  </cols>
  <sheetData>
    <row r="1" spans="1:11" ht="20" customHeight="1" x14ac:dyDescent="0.25">
      <c r="A1" s="42" t="s">
        <v>463</v>
      </c>
      <c r="H1" s="43" t="s">
        <v>464</v>
      </c>
    </row>
    <row r="2" spans="1:11" ht="20" customHeight="1" x14ac:dyDescent="0.2">
      <c r="A2" s="41" t="s">
        <v>465</v>
      </c>
      <c r="H2" s="44" t="s">
        <v>466</v>
      </c>
      <c r="I2" s="45">
        <v>48</v>
      </c>
    </row>
    <row r="3" spans="1:11" ht="20" customHeight="1" x14ac:dyDescent="0.2">
      <c r="H3" s="44" t="s">
        <v>467</v>
      </c>
      <c r="I3" s="45">
        <v>28</v>
      </c>
    </row>
    <row r="4" spans="1:11" ht="20" customHeight="1" x14ac:dyDescent="0.2">
      <c r="A4" s="17" t="s">
        <v>350</v>
      </c>
      <c r="B4" s="17" t="s">
        <v>468</v>
      </c>
      <c r="C4" s="17" t="s">
        <v>469</v>
      </c>
      <c r="D4" s="17" t="s">
        <v>470</v>
      </c>
      <c r="E4" s="17" t="s">
        <v>471</v>
      </c>
      <c r="F4" s="17" t="s">
        <v>472</v>
      </c>
      <c r="H4" s="44" t="s">
        <v>473</v>
      </c>
      <c r="I4" s="46">
        <v>0.58333333333333304</v>
      </c>
    </row>
    <row r="5" spans="1:11" ht="20" customHeight="1" x14ac:dyDescent="0.2">
      <c r="A5" s="35" t="s">
        <v>1</v>
      </c>
      <c r="B5" s="38">
        <v>4.75</v>
      </c>
      <c r="C5" s="38">
        <v>10.0833333333333</v>
      </c>
      <c r="D5" s="47">
        <v>0.52892561983471098</v>
      </c>
      <c r="E5" s="35" t="s">
        <v>474</v>
      </c>
      <c r="F5" s="36" t="s">
        <v>475</v>
      </c>
    </row>
    <row r="6" spans="1:11" ht="20" customHeight="1" x14ac:dyDescent="0.2">
      <c r="A6" s="35" t="s">
        <v>3</v>
      </c>
      <c r="B6" s="37">
        <v>0.92897291666666704</v>
      </c>
      <c r="C6" s="37">
        <v>0.75235208333333303</v>
      </c>
      <c r="D6" s="47">
        <v>0.234758216592963</v>
      </c>
      <c r="E6" s="35" t="s">
        <v>476</v>
      </c>
      <c r="F6" s="36" t="s">
        <v>475</v>
      </c>
      <c r="H6" s="48" t="s">
        <v>477</v>
      </c>
    </row>
    <row r="7" spans="1:11" ht="20" customHeight="1" x14ac:dyDescent="0.2">
      <c r="A7" s="35" t="s">
        <v>4</v>
      </c>
      <c r="B7" s="38">
        <v>124.008333333333</v>
      </c>
      <c r="C7" s="38">
        <v>116.51875</v>
      </c>
      <c r="D7" s="47">
        <v>6.4277923796241601E-2</v>
      </c>
      <c r="E7" s="35" t="s">
        <v>478</v>
      </c>
      <c r="F7" s="40" t="s">
        <v>479</v>
      </c>
      <c r="H7">
        <v>1</v>
      </c>
      <c r="I7" t="s">
        <v>6</v>
      </c>
      <c r="J7" s="49">
        <v>0.995777951524629</v>
      </c>
    </row>
    <row r="8" spans="1:11" ht="20" customHeight="1" x14ac:dyDescent="0.2">
      <c r="A8" s="35" t="s">
        <v>5</v>
      </c>
      <c r="B8" s="38">
        <v>97.418750000000003</v>
      </c>
      <c r="C8" s="38">
        <v>103.195833333333</v>
      </c>
      <c r="D8" s="47">
        <v>5.5981749909153201E-2</v>
      </c>
      <c r="E8" s="35" t="s">
        <v>480</v>
      </c>
      <c r="F8" s="40" t="s">
        <v>479</v>
      </c>
      <c r="H8">
        <v>2</v>
      </c>
      <c r="I8" t="s">
        <v>16</v>
      </c>
      <c r="J8" s="49">
        <v>0.9375</v>
      </c>
    </row>
    <row r="9" spans="1:11" ht="20" customHeight="1" x14ac:dyDescent="0.2">
      <c r="A9" s="35" t="s">
        <v>6</v>
      </c>
      <c r="B9" s="38">
        <v>26.589583333333302</v>
      </c>
      <c r="C9" s="38">
        <v>13.3229166666667</v>
      </c>
      <c r="D9" s="47">
        <v>0.995777951524629</v>
      </c>
      <c r="E9" s="35" t="s">
        <v>481</v>
      </c>
      <c r="F9" s="36" t="s">
        <v>475</v>
      </c>
      <c r="H9">
        <v>3</v>
      </c>
      <c r="I9" t="s">
        <v>1</v>
      </c>
      <c r="J9" s="49">
        <v>0.52892561983471098</v>
      </c>
    </row>
    <row r="10" spans="1:11" ht="20" customHeight="1" x14ac:dyDescent="0.2">
      <c r="A10" s="35" t="s">
        <v>7</v>
      </c>
      <c r="B10" s="38">
        <v>54.96875</v>
      </c>
      <c r="C10" s="38">
        <v>53.664583333333297</v>
      </c>
      <c r="D10" s="47">
        <v>2.43021856438526E-2</v>
      </c>
      <c r="E10" s="35" t="s">
        <v>482</v>
      </c>
      <c r="F10" s="39" t="s">
        <v>483</v>
      </c>
    </row>
    <row r="11" spans="1:11" ht="20" customHeight="1" x14ac:dyDescent="0.2">
      <c r="A11" s="35" t="s">
        <v>10</v>
      </c>
      <c r="B11" s="38">
        <v>14.987500000000001</v>
      </c>
      <c r="C11" s="38">
        <v>15.685416666666701</v>
      </c>
      <c r="D11" s="47">
        <v>-4.4494620799575099E-2</v>
      </c>
      <c r="E11" s="35" t="s">
        <v>484</v>
      </c>
      <c r="F11" s="40" t="s">
        <v>479</v>
      </c>
      <c r="H11" s="50" t="s">
        <v>485</v>
      </c>
      <c r="I11" s="1" t="s">
        <v>486</v>
      </c>
      <c r="J11" s="1"/>
      <c r="K11" s="1"/>
    </row>
    <row r="12" spans="1:11" ht="20" customHeight="1" x14ac:dyDescent="0.2">
      <c r="A12" s="35" t="s">
        <v>11</v>
      </c>
      <c r="B12" s="38">
        <v>17.15625</v>
      </c>
      <c r="C12" s="38">
        <v>17.420833333333299</v>
      </c>
      <c r="D12" s="47">
        <v>-1.51877541258073E-2</v>
      </c>
      <c r="E12" s="35" t="s">
        <v>487</v>
      </c>
      <c r="F12" s="39" t="s">
        <v>483</v>
      </c>
      <c r="I12" s="1"/>
      <c r="J12" s="1"/>
      <c r="K12" s="1"/>
    </row>
    <row r="13" spans="1:11" ht="20" customHeight="1" x14ac:dyDescent="0.2">
      <c r="A13" s="35" t="s">
        <v>12</v>
      </c>
      <c r="B13" s="38">
        <v>34.962499999999999</v>
      </c>
      <c r="C13" s="38">
        <v>33.056249999999999</v>
      </c>
      <c r="D13" s="47">
        <v>5.76668557383248E-2</v>
      </c>
      <c r="E13" s="35" t="s">
        <v>488</v>
      </c>
      <c r="F13" s="40" t="s">
        <v>479</v>
      </c>
    </row>
    <row r="14" spans="1:11" ht="20" customHeight="1" x14ac:dyDescent="0.2">
      <c r="A14" s="35" t="s">
        <v>14</v>
      </c>
      <c r="B14" s="38">
        <v>35.674999999999997</v>
      </c>
      <c r="C14" s="38">
        <v>35.120833333333302</v>
      </c>
      <c r="D14" s="47">
        <v>1.57788587021001E-2</v>
      </c>
      <c r="E14" s="35" t="s">
        <v>489</v>
      </c>
      <c r="F14" s="39" t="s">
        <v>483</v>
      </c>
    </row>
    <row r="15" spans="1:11" ht="20" customHeight="1" x14ac:dyDescent="0.2">
      <c r="A15" s="35" t="s">
        <v>16</v>
      </c>
      <c r="B15" s="38">
        <v>-0.32291666666666702</v>
      </c>
      <c r="C15" s="38">
        <v>-0.16666666666666699</v>
      </c>
      <c r="D15" s="47">
        <v>0.9375</v>
      </c>
      <c r="E15" s="35" t="s">
        <v>490</v>
      </c>
      <c r="F15" s="36" t="s">
        <v>475</v>
      </c>
    </row>
    <row r="18" spans="1:2" ht="20" customHeight="1" x14ac:dyDescent="0.2">
      <c r="A18" s="44" t="s">
        <v>390</v>
      </c>
      <c r="B18" s="51" t="s">
        <v>395</v>
      </c>
    </row>
  </sheetData>
  <mergeCells count="1">
    <mergeCell ref="I11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zoomScaleNormal="100" workbookViewId="0">
      <selection activeCell="D15" sqref="D15"/>
    </sheetView>
  </sheetViews>
  <sheetFormatPr baseColWidth="10" defaultColWidth="14.3984375" defaultRowHeight="15" customHeight="1" x14ac:dyDescent="0.2"/>
  <cols>
    <col min="1" max="8" width="31.3984375" customWidth="1"/>
    <col min="9" max="26" width="12.59765625" customWidth="1"/>
  </cols>
  <sheetData>
    <row r="1" spans="1:10" ht="13.5" customHeight="1" x14ac:dyDescent="0.2">
      <c r="A1" s="62" t="s">
        <v>300</v>
      </c>
      <c r="J1" s="66"/>
    </row>
    <row r="2" spans="1:10" ht="13.5" customHeight="1" x14ac:dyDescent="0.2">
      <c r="A2" s="65" t="s">
        <v>301</v>
      </c>
    </row>
    <row r="3" spans="1:10" ht="13.5" customHeight="1" x14ac:dyDescent="0.2"/>
    <row r="4" spans="1:10" ht="13.5" customHeight="1" x14ac:dyDescent="0.2">
      <c r="A4" s="62" t="s">
        <v>302</v>
      </c>
    </row>
    <row r="5" spans="1:10" ht="13.5" customHeight="1" x14ac:dyDescent="0.2">
      <c r="A5" s="27" t="s">
        <v>303</v>
      </c>
    </row>
    <row r="6" spans="1:10" ht="13.5" customHeight="1" x14ac:dyDescent="0.2">
      <c r="A6" s="27" t="s">
        <v>304</v>
      </c>
    </row>
    <row r="7" spans="1:10" ht="13.5" customHeight="1" x14ac:dyDescent="0.2">
      <c r="A7" s="27" t="s">
        <v>305</v>
      </c>
    </row>
    <row r="8" spans="1:10" ht="13.5" customHeight="1" x14ac:dyDescent="0.2">
      <c r="A8" s="27" t="s">
        <v>306</v>
      </c>
      <c r="C8" s="28"/>
      <c r="D8" s="28"/>
      <c r="E8" s="28"/>
    </row>
    <row r="9" spans="1:10" ht="13.5" customHeight="1" x14ac:dyDescent="0.2">
      <c r="A9" s="27" t="s">
        <v>307</v>
      </c>
      <c r="F9" s="27"/>
      <c r="H9" s="27"/>
    </row>
    <row r="10" spans="1:10" ht="13.5" customHeight="1" x14ac:dyDescent="0.2">
      <c r="A10" s="27" t="s">
        <v>308</v>
      </c>
      <c r="F10" s="27"/>
      <c r="G10" s="28"/>
      <c r="H10" s="27"/>
    </row>
    <row r="11" spans="1:10" ht="13.5" customHeight="1" x14ac:dyDescent="0.2">
      <c r="A11" s="27" t="s">
        <v>309</v>
      </c>
      <c r="F11" s="27"/>
    </row>
    <row r="12" spans="1:10" ht="13.5" customHeight="1" x14ac:dyDescent="0.2">
      <c r="F12" s="27"/>
    </row>
    <row r="13" spans="1:10" ht="13.5" customHeight="1" x14ac:dyDescent="0.2">
      <c r="A13" s="62"/>
      <c r="B13" s="62" t="s">
        <v>310</v>
      </c>
      <c r="C13" s="63"/>
      <c r="F13" s="27"/>
    </row>
    <row r="14" spans="1:10" ht="13.5" customHeight="1" x14ac:dyDescent="0.2">
      <c r="A14" s="27" t="s">
        <v>311</v>
      </c>
      <c r="B14" s="27" t="s">
        <v>312</v>
      </c>
      <c r="C14" s="27" t="s">
        <v>313</v>
      </c>
    </row>
    <row r="15" spans="1:10" ht="13.5" customHeight="1" x14ac:dyDescent="0.2">
      <c r="A15" s="27" t="s">
        <v>1</v>
      </c>
      <c r="B15" s="27">
        <v>4</v>
      </c>
      <c r="C15" s="27" t="s">
        <v>314</v>
      </c>
    </row>
    <row r="16" spans="1:10" ht="13.5" customHeight="1" x14ac:dyDescent="0.2">
      <c r="A16" s="27" t="s">
        <v>315</v>
      </c>
      <c r="B16" s="27">
        <v>4</v>
      </c>
      <c r="C16" s="27" t="s">
        <v>314</v>
      </c>
    </row>
    <row r="17" spans="1:4" ht="13.5" customHeight="1" x14ac:dyDescent="0.2">
      <c r="A17" s="27" t="s">
        <v>316</v>
      </c>
      <c r="B17" s="27">
        <v>2</v>
      </c>
      <c r="C17" s="27" t="s">
        <v>317</v>
      </c>
    </row>
    <row r="18" spans="1:4" ht="13.5" customHeight="1" x14ac:dyDescent="0.2">
      <c r="A18" s="27" t="s">
        <v>318</v>
      </c>
      <c r="B18" s="27">
        <v>1</v>
      </c>
      <c r="C18" s="27" t="s">
        <v>319</v>
      </c>
    </row>
    <row r="19" spans="1:4" ht="13.5" customHeight="1" x14ac:dyDescent="0.2">
      <c r="A19" s="27" t="s">
        <v>320</v>
      </c>
      <c r="B19" s="27">
        <v>1</v>
      </c>
      <c r="C19" s="27" t="s">
        <v>319</v>
      </c>
    </row>
    <row r="20" spans="1:4" ht="13.5" customHeight="1" x14ac:dyDescent="0.2"/>
    <row r="21" spans="1:4" ht="13.5" customHeight="1" x14ac:dyDescent="0.2"/>
    <row r="22" spans="1:4" ht="13.5" customHeight="1" x14ac:dyDescent="0.2">
      <c r="A22" s="64" t="s">
        <v>321</v>
      </c>
      <c r="B22" s="64"/>
      <c r="C22" s="64"/>
      <c r="D22" s="64"/>
    </row>
    <row r="23" spans="1:4" ht="13.5" customHeight="1" x14ac:dyDescent="0.2">
      <c r="A23" s="29" t="s">
        <v>322</v>
      </c>
      <c r="B23" s="29" t="s">
        <v>323</v>
      </c>
      <c r="C23" s="29" t="s">
        <v>324</v>
      </c>
      <c r="D23" s="29" t="s">
        <v>325</v>
      </c>
    </row>
    <row r="24" spans="1:4" ht="13.5" customHeight="1" x14ac:dyDescent="0.2">
      <c r="A24" s="27" t="s">
        <v>326</v>
      </c>
      <c r="B24" s="27" t="s">
        <v>327</v>
      </c>
      <c r="C24" s="27" t="s">
        <v>328</v>
      </c>
      <c r="D24" s="27" t="s">
        <v>329</v>
      </c>
    </row>
    <row r="25" spans="1:4" ht="13.5" customHeight="1" x14ac:dyDescent="0.2">
      <c r="A25" s="27" t="s">
        <v>330</v>
      </c>
      <c r="B25" s="27" t="s">
        <v>331</v>
      </c>
      <c r="C25" s="27" t="s">
        <v>332</v>
      </c>
      <c r="D25" s="27" t="s">
        <v>333</v>
      </c>
    </row>
    <row r="26" spans="1:4" ht="13.5" customHeight="1" x14ac:dyDescent="0.2">
      <c r="A26" s="27">
        <v>5</v>
      </c>
      <c r="B26" s="27" t="s">
        <v>334</v>
      </c>
      <c r="C26" s="27" t="s">
        <v>335</v>
      </c>
      <c r="D26" s="27" t="s">
        <v>336</v>
      </c>
    </row>
    <row r="27" spans="1:4" ht="13.5" customHeight="1" x14ac:dyDescent="0.2">
      <c r="A27" s="27" t="s">
        <v>337</v>
      </c>
      <c r="B27" s="27" t="s">
        <v>338</v>
      </c>
      <c r="C27" s="27" t="s">
        <v>339</v>
      </c>
      <c r="D27" s="27" t="s">
        <v>340</v>
      </c>
    </row>
    <row r="28" spans="1:4" ht="13.5" customHeight="1" x14ac:dyDescent="0.2">
      <c r="A28" s="27" t="s">
        <v>341</v>
      </c>
      <c r="B28" s="27" t="s">
        <v>342</v>
      </c>
      <c r="C28" s="27" t="s">
        <v>343</v>
      </c>
      <c r="D28" s="27" t="s">
        <v>344</v>
      </c>
    </row>
    <row r="29" spans="1:4" ht="13.5" customHeight="1" x14ac:dyDescent="0.2">
      <c r="A29" s="27" t="s">
        <v>345</v>
      </c>
      <c r="B29" s="27" t="s">
        <v>346</v>
      </c>
      <c r="C29" s="27" t="s">
        <v>347</v>
      </c>
      <c r="D29" s="27" t="s">
        <v>348</v>
      </c>
    </row>
    <row r="30" spans="1:4" ht="13.5" customHeight="1" x14ac:dyDescent="0.2"/>
    <row r="31" spans="1:4" ht="13.5" customHeight="1" x14ac:dyDescent="0.2">
      <c r="A31" s="64" t="s">
        <v>349</v>
      </c>
      <c r="B31" s="64"/>
      <c r="C31" s="64"/>
    </row>
    <row r="32" spans="1:4" ht="13.5" customHeight="1" x14ac:dyDescent="0.2">
      <c r="A32" s="30" t="s">
        <v>350</v>
      </c>
      <c r="B32" s="30" t="s">
        <v>312</v>
      </c>
      <c r="C32" s="30" t="s">
        <v>351</v>
      </c>
    </row>
    <row r="33" spans="1:3" ht="13.5" customHeight="1" x14ac:dyDescent="0.2">
      <c r="A33" t="s">
        <v>352</v>
      </c>
      <c r="B33" s="31">
        <v>0.35</v>
      </c>
      <c r="C33" t="s">
        <v>353</v>
      </c>
    </row>
    <row r="34" spans="1:3" ht="13.5" customHeight="1" x14ac:dyDescent="0.2">
      <c r="A34" t="s">
        <v>354</v>
      </c>
      <c r="B34" s="31">
        <v>0.2</v>
      </c>
      <c r="C34" t="s">
        <v>355</v>
      </c>
    </row>
    <row r="35" spans="1:3" ht="13.5" customHeight="1" x14ac:dyDescent="0.2">
      <c r="A35" t="s">
        <v>356</v>
      </c>
      <c r="B35" s="31">
        <v>0.15</v>
      </c>
      <c r="C35" t="s">
        <v>357</v>
      </c>
    </row>
    <row r="36" spans="1:3" ht="13.5" customHeight="1" x14ac:dyDescent="0.2">
      <c r="A36" t="s">
        <v>358</v>
      </c>
      <c r="B36" s="31">
        <v>0.1</v>
      </c>
      <c r="C36" t="s">
        <v>359</v>
      </c>
    </row>
    <row r="37" spans="1:3" ht="13.5" customHeight="1" x14ac:dyDescent="0.2">
      <c r="A37" t="s">
        <v>360</v>
      </c>
      <c r="B37" s="31">
        <v>0.1</v>
      </c>
      <c r="C37" t="s">
        <v>361</v>
      </c>
    </row>
    <row r="38" spans="1:3" ht="13.5" customHeight="1" x14ac:dyDescent="0.2">
      <c r="A38" t="s">
        <v>362</v>
      </c>
      <c r="B38" s="31">
        <v>0.05</v>
      </c>
      <c r="C38" t="s">
        <v>363</v>
      </c>
    </row>
    <row r="39" spans="1:3" ht="13.5" customHeight="1" x14ac:dyDescent="0.2">
      <c r="A39" t="s">
        <v>364</v>
      </c>
      <c r="B39" s="31">
        <v>0.05</v>
      </c>
      <c r="C39" t="s">
        <v>365</v>
      </c>
    </row>
    <row r="40" spans="1:3" ht="13.5" customHeight="1" x14ac:dyDescent="0.2">
      <c r="A40" s="32" t="s">
        <v>366</v>
      </c>
      <c r="B40" s="33">
        <f>SUM(B33:B39)</f>
        <v>1</v>
      </c>
    </row>
    <row r="41" spans="1:3" ht="13.5" customHeight="1" x14ac:dyDescent="0.2"/>
    <row r="42" spans="1:3" ht="13.5" customHeight="1" x14ac:dyDescent="0.2"/>
    <row r="43" spans="1:3" ht="13.5" customHeight="1" x14ac:dyDescent="0.2"/>
    <row r="44" spans="1:3" ht="13.5" customHeight="1" x14ac:dyDescent="0.2"/>
    <row r="45" spans="1:3" ht="13.5" customHeight="1" x14ac:dyDescent="0.2"/>
    <row r="46" spans="1:3" ht="13.5" customHeight="1" x14ac:dyDescent="0.2"/>
    <row r="47" spans="1:3" ht="13.5" customHeight="1" x14ac:dyDescent="0.2"/>
    <row r="48" spans="1:3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2">
    <mergeCell ref="A22:D22"/>
    <mergeCell ref="A31:C31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Team List</vt:lpstr>
      <vt:lpstr>Bart Torvik</vt:lpstr>
      <vt:lpstr>Team Ratings</vt:lpstr>
      <vt:lpstr>Team Metrics</vt:lpstr>
      <vt:lpstr>Matchups</vt:lpstr>
      <vt:lpstr>Model Results</vt:lpstr>
      <vt:lpstr>Matchup Results</vt:lpstr>
      <vt:lpstr>Model Analysis</vt:lpstr>
      <vt:lpstr>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Doyle</cp:lastModifiedBy>
  <dcterms:created xsi:type="dcterms:W3CDTF">2026-03-25T21:41:13Z</dcterms:created>
  <dcterms:modified xsi:type="dcterms:W3CDTF">2026-03-25T21:43:31Z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2026-03-25T18:33:28Z</dcterms:created>
  <dc:creator>openpyxl</dc:creator>
  <dc:description/>
  <dc:language>en-US</dc:language>
  <cp:lastModifiedBy/>
  <dcterms:modified xsi:type="dcterms:W3CDTF">2026-03-25T18:37:09Z</dcterms:modified>
  <cp:revision>0</cp:revision>
  <dc:subject/>
  <dc:title/>
</cp:coreProperties>
</file>